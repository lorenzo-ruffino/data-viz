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ressione" sheetId="1" state="visible" r:id="rId1"/>
    <sheet xmlns:r="http://schemas.openxmlformats.org/officeDocument/2006/relationships" name="2 Scomposizione" sheetId="2" state="visible" r:id="rId2"/>
    <sheet xmlns:r="http://schemas.openxmlformats.org/officeDocument/2006/relationships" name="3 Occupazione" sheetId="3" state="visible" r:id="rId3"/>
    <sheet xmlns:r="http://schemas.openxmlformats.org/officeDocument/2006/relationships" name="4 Finanza" sheetId="4" state="visible" r:id="rId4"/>
    <sheet xmlns:r="http://schemas.openxmlformats.org/officeDocument/2006/relationships" name="5 Cuneo 2025" sheetId="5" state="visible" r:id="rId5"/>
    <sheet xmlns:r="http://schemas.openxmlformats.org/officeDocument/2006/relationships" name="6 Datori" sheetId="6" state="visible" r:id="rId6"/>
    <sheet xmlns:r="http://schemas.openxmlformats.org/officeDocument/2006/relationships" name="Note e fon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0;-0.00;0.00"/>
    <numFmt numFmtId="166" formatCode="0.0"/>
    <numFmt numFmtId="167" formatCode="+0.0;-0.0"/>
  </numFmts>
  <fonts count="9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color rgb="004B5563"/>
      <sz val="10.5"/>
    </font>
    <font>
      <name val="Arial"/>
      <b val="1"/>
      <color rgb="00FFFFFF"/>
      <sz val="10.5"/>
    </font>
    <font>
      <name val="Arial"/>
      <color rgb="00111827"/>
      <sz val="10.5"/>
    </font>
    <font>
      <name val="Arial"/>
      <b val="1"/>
      <color rgb="00111827"/>
      <sz val="10.5"/>
    </font>
    <font>
      <name val="Arial"/>
      <b val="1"/>
      <color rgb="00374151"/>
      <sz val="9"/>
    </font>
    <font>
      <name val="Arial"/>
      <i val="1"/>
      <color rgb="006B7280"/>
      <sz val="8.5"/>
    </font>
    <font>
      <name val="Arial"/>
      <b val="1"/>
      <color rgb="001E3A8A"/>
      <sz val="10.5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3">
    <border>
      <left/>
      <right/>
      <top/>
      <bottom/>
      <diagonal/>
    </border>
    <border>
      <top style="thin">
        <color rgb="009CA3AF"/>
      </top>
    </border>
    <border>
      <top style="medium">
        <color rgb="001E3A8A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/>
    </xf>
    <xf numFmtId="0" fontId="7" fillId="0" borderId="0" applyAlignment="1" pivotButton="0" quotePrefix="0" xfId="0">
      <alignment/>
    </xf>
    <xf numFmtId="0" fontId="5" fillId="3" borderId="0" applyAlignment="1" pivotButton="0" quotePrefix="0" xfId="0">
      <alignment vertical="center"/>
    </xf>
    <xf numFmtId="165" fontId="5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/>
    </xf>
    <xf numFmtId="165" fontId="8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indent="2"/>
    </xf>
    <xf numFmtId="165" fontId="4" fillId="0" borderId="0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165" fontId="5" fillId="3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0" fontId="5" fillId="3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LR</author>
  </authors>
  <commentList>
    <comment ref="C6" authorId="0" shapeId="0">
      <text>
        <t>Istat, Conti economici nazionali, 22 settembre 2026, Tavola 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2" ht="22" customHeight="1">
      <c r="B2" s="1" t="inlineStr">
        <is>
          <t>La pressione fiscale torna a salire</t>
        </is>
      </c>
    </row>
    <row r="3">
      <c r="B3" s="2" t="inlineStr">
        <is>
          <t>Pressione fiscale e peso dei redditi da lavoro dipendente sul PIL (%)</t>
        </is>
      </c>
    </row>
    <row r="5" ht="30" customHeight="1">
      <c r="B5" s="3" t="inlineStr"/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 ht="18" customHeight="1">
      <c r="B6" s="5" t="inlineStr">
        <is>
          <t>Pressione fiscale (% del PIL)</t>
        </is>
      </c>
      <c r="C6" s="6" t="n">
        <v>0.424</v>
      </c>
      <c r="D6" s="6" t="n">
        <v>0.41642</v>
      </c>
      <c r="E6" s="6" t="n">
        <v>0.41227</v>
      </c>
      <c r="F6" s="6" t="n">
        <v>0.4221200000000001</v>
      </c>
      <c r="G6" s="6" t="n">
        <v>0.42898</v>
      </c>
    </row>
    <row r="7" ht="18" customHeight="1">
      <c r="B7" s="5" t="inlineStr">
        <is>
          <t>Redditi da lavoro dipendente (milioni)</t>
        </is>
      </c>
      <c r="C7" s="7" t="n">
        <v>738233</v>
      </c>
      <c r="D7" s="7" t="n">
        <v>783566.6</v>
      </c>
      <c r="E7" s="7" t="n">
        <v>823557.5</v>
      </c>
      <c r="F7" s="7" t="n">
        <v>868445</v>
      </c>
      <c r="G7" s="7" t="n">
        <v>902086.4</v>
      </c>
    </row>
    <row r="8" ht="18" customHeight="1">
      <c r="B8" s="5" t="inlineStr">
        <is>
          <t>PIL (milioni)</t>
        </is>
      </c>
      <c r="C8" s="7" t="n">
        <v>1838674.8</v>
      </c>
      <c r="D8" s="7" t="n">
        <v>1998269.1</v>
      </c>
      <c r="E8" s="7" t="n">
        <v>2141760.8</v>
      </c>
      <c r="F8" s="7" t="n">
        <v>2210594.7</v>
      </c>
      <c r="G8" s="7" t="n">
        <v>2265002.5</v>
      </c>
    </row>
    <row r="9" ht="18" customHeight="1">
      <c r="B9" s="8" t="inlineStr">
        <is>
          <t>Redditi da lavoro dipendente (% del PIL)</t>
        </is>
      </c>
      <c r="C9" s="9">
        <f>C7/C8</f>
        <v/>
      </c>
      <c r="D9" s="9">
        <f>D7/D8</f>
        <v/>
      </c>
      <c r="E9" s="9">
        <f>E7/E8</f>
        <v/>
      </c>
      <c r="F9" s="9">
        <f>F7/F8</f>
        <v/>
      </c>
      <c r="G9" s="9">
        <f>G7/G8</f>
        <v/>
      </c>
    </row>
    <row r="11">
      <c r="B11" s="10" t="inlineStr">
        <is>
          <t>Elaborazione di Lorenzo Ruffino su dati Istat (Conti economici nazionali, 22 settembre 2026).</t>
        </is>
      </c>
    </row>
    <row r="12">
      <c r="B12" s="11" t="inlineStr">
        <is>
          <t>Nota: i dati 2024 e 2025 sono provvisori.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  <col width="13" customWidth="1" min="3" max="3"/>
    <col width="13" customWidth="1" min="4" max="4"/>
  </cols>
  <sheetData>
    <row r="2" ht="22" customHeight="1">
      <c r="B2" s="1" t="inlineStr">
        <is>
          <t>Perché è salita la pressione fiscale</t>
        </is>
      </c>
    </row>
    <row r="3">
      <c r="B3" s="2" t="inlineStr">
        <is>
          <t>Variazione della pressione fiscale scomposta, in punti di PIL</t>
        </is>
      </c>
    </row>
    <row r="5" ht="30" customHeight="1">
      <c r="B5" s="3" t="inlineStr"/>
      <c r="C5" s="4" t="inlineStr">
        <is>
          <t>2024</t>
        </is>
      </c>
      <c r="D5" s="4" t="inlineStr">
        <is>
          <t>2025</t>
        </is>
      </c>
    </row>
    <row r="6" ht="18" customHeight="1">
      <c r="B6" s="12" t="inlineStr">
        <is>
          <t>Variazione della pressione fiscale (Istat)</t>
        </is>
      </c>
      <c r="C6" s="13">
        <f>'1 Pressione'!F6*100-'1 Pressione'!E6*100</f>
        <v/>
      </c>
      <c r="D6" s="13">
        <f>'1 Pressione'!G6*100-'1 Pressione'!F6*100</f>
        <v/>
      </c>
    </row>
    <row r="8" ht="18" customHeight="1">
      <c r="B8" s="14" t="inlineStr">
        <is>
          <t>A. Composizione dei redditi (le basi nel PIL crescono più o meno del PIL)</t>
        </is>
      </c>
      <c r="C8" s="15">
        <f>SUM(C9:C13)</f>
        <v/>
      </c>
      <c r="D8" s="15">
        <f>SUM(D9:D13)</f>
        <v/>
      </c>
    </row>
    <row r="9" ht="18" customHeight="1">
      <c r="B9" s="16" t="inlineStr">
        <is>
          <t>Più lavoro rispetto al PIL</t>
        </is>
      </c>
      <c r="C9" s="17" t="n">
        <v>0.1434243976852379</v>
      </c>
      <c r="D9" s="17" t="n">
        <v>0.09918520132272661</v>
      </c>
    </row>
    <row r="10" ht="18" customHeight="1">
      <c r="B10" s="16" t="inlineStr">
        <is>
          <t>Più dipendenti e meno autonomi</t>
        </is>
      </c>
      <c r="C10" s="17" t="n">
        <v>0.1927377521989335</v>
      </c>
      <c r="D10" s="17" t="n">
        <v>-0.03571229885260931</v>
      </c>
    </row>
    <row r="11" ht="18" customHeight="1">
      <c r="B11" s="16" t="inlineStr">
        <is>
          <t>Salari reali per unità di lavoro</t>
        </is>
      </c>
      <c r="C11" s="17" t="n">
        <v>-0.009920426137500549</v>
      </c>
      <c r="D11" s="17" t="n">
        <v>0.1221213029645584</v>
      </c>
    </row>
    <row r="12" ht="18" customHeight="1">
      <c r="B12" s="16" t="inlineStr">
        <is>
          <t>Minor peso di profitti e redditi degli autonomi</t>
        </is>
      </c>
      <c r="C12" s="17" t="n">
        <v>-0.2126178557923099</v>
      </c>
      <c r="D12" s="17" t="n">
        <v>-0.0986665523521964</v>
      </c>
    </row>
    <row r="13" ht="18" customHeight="1">
      <c r="B13" s="16" t="inlineStr">
        <is>
          <t>Pensioni, consumi ed energia</t>
        </is>
      </c>
      <c r="C13" s="17" t="n">
        <v>0.05119143990696615</v>
      </c>
      <c r="D13" s="17" t="n">
        <v>0.006158192553097141</v>
      </c>
    </row>
    <row r="15" ht="18" customHeight="1">
      <c r="B15" s="14" t="inlineStr">
        <is>
          <t>B. Base finanziaria (redditi e patrimoni finanziari crescono più del PIL)</t>
        </is>
      </c>
      <c r="C15" s="15">
        <f>SUM(C16:C16)</f>
        <v/>
      </c>
      <c r="D15" s="15">
        <f>SUM(D16:D16)</f>
        <v/>
      </c>
    </row>
    <row r="16" ht="18" customHeight="1">
      <c r="B16" s="16" t="inlineStr">
        <is>
          <t>Interessi, dividendi, plusvalenze, risparmio gestito, bollo</t>
        </is>
      </c>
      <c r="C16" s="17" t="n">
        <v>0.5243949694410536</v>
      </c>
      <c r="D16" s="17" t="n">
        <v>0.2325542990335806</v>
      </c>
    </row>
    <row r="18" ht="18" customHeight="1">
      <c r="B18" s="14" t="inlineStr">
        <is>
          <t>C. Intensità (quanto si paga a parità di base: misure, fiscal drag, altro)</t>
        </is>
      </c>
      <c r="C18" s="15">
        <f>SUM(C19:C30)</f>
        <v/>
      </c>
      <c r="D18" s="15">
        <f>SUM(D19:D30)</f>
        <v/>
      </c>
    </row>
    <row r="19" ht="18" customHeight="1">
      <c r="B19" s="16" t="inlineStr">
        <is>
          <t>Cuneo: decontribuzione (2024), detrazione e bonus (2025)</t>
        </is>
      </c>
      <c r="C19" s="17" t="n">
        <v>-0.1705343132656185</v>
      </c>
      <c r="D19" s="17" t="n">
        <v>0.1866052372633039</v>
      </c>
    </row>
    <row r="20" ht="18" customHeight="1">
      <c r="B20" s="16" t="inlineStr">
        <is>
          <t>Riforma IRPEF a tre aliquote</t>
        </is>
      </c>
      <c r="C20" s="17" t="n">
        <v>-0.1945177919769734</v>
      </c>
      <c r="D20" s="17" t="n">
        <v>0</v>
      </c>
    </row>
    <row r="21" ht="18" customHeight="1">
      <c r="B21" s="16" t="inlineStr">
        <is>
          <t>Fiscal drag IRPEF (stima)</t>
        </is>
      </c>
      <c r="C21" s="17" t="n">
        <v>0.1823927146371733</v>
      </c>
      <c r="D21" s="17" t="n">
        <v>0.1417497938267566</v>
      </c>
    </row>
    <row r="22" ht="18" customHeight="1">
      <c r="B22" s="16" t="inlineStr">
        <is>
          <t>IRPEF, residuo (saldi e acconti, altro)</t>
        </is>
      </c>
      <c r="C22" s="17" t="n">
        <v>0.033143832503467</v>
      </c>
      <c r="D22" s="17" t="n">
        <v>-0.1099899623280208</v>
      </c>
    </row>
    <row r="23" ht="18" customHeight="1">
      <c r="B23" s="16" t="inlineStr">
        <is>
          <t>Energia: fine degli sconti e oneri di sistema</t>
        </is>
      </c>
      <c r="C23" s="17" t="n">
        <v>0.1767654151796751</v>
      </c>
      <c r="D23" s="17" t="n">
        <v>-0.002413450864687842</v>
      </c>
    </row>
    <row r="24" ht="18" customHeight="1">
      <c r="B24" s="16" t="inlineStr">
        <is>
          <t>Prelievo straordinario sulle polizze vita (una tantum)</t>
        </is>
      </c>
      <c r="C24" s="17" t="n">
        <v>0</v>
      </c>
      <c r="D24" s="17" t="n">
        <v>0.06675489320651964</v>
      </c>
    </row>
    <row r="25" ht="18" customHeight="1">
      <c r="B25" s="16" t="inlineStr">
        <is>
          <t>Imprese: IRES, IRAP, extraprofitti, rivalutazioni</t>
        </is>
      </c>
      <c r="C25" s="17" t="n">
        <v>0.1178992547332013</v>
      </c>
      <c r="D25" s="17" t="n">
        <v>0.06081388342650641</v>
      </c>
    </row>
    <row r="26" ht="18" customHeight="1">
      <c r="B26" s="16" t="inlineStr">
        <is>
          <t>Contributi degli autonomi</t>
        </is>
      </c>
      <c r="C26" s="17" t="n">
        <v>0.1529942776122066</v>
      </c>
      <c r="D26" s="17" t="n">
        <v>0.02529058554766029</v>
      </c>
    </row>
    <row r="27" ht="18" customHeight="1">
      <c r="B27" s="16" t="inlineStr">
        <is>
          <t>Contributi a carico dei datori</t>
        </is>
      </c>
      <c r="C27" s="17" t="n">
        <v>-0.00837655293559017</v>
      </c>
      <c r="D27" s="17" t="n">
        <v>0.03858494997010342</v>
      </c>
    </row>
    <row r="28" ht="18" customHeight="1">
      <c r="B28" s="16" t="inlineStr">
        <is>
          <t>IVA</t>
        </is>
      </c>
      <c r="C28" s="17" t="n">
        <v>0.03114381414156111</v>
      </c>
      <c r="D28" s="17" t="n">
        <v>0.05446670243836734</v>
      </c>
    </row>
    <row r="29" ht="18" customHeight="1">
      <c r="B29" s="16" t="inlineStr">
        <is>
          <t>Immobili: IMU, cedolare, registro</t>
        </is>
      </c>
      <c r="C29" s="17" t="n">
        <v>0.0291627970250289</v>
      </c>
      <c r="D29" s="17" t="n">
        <v>-0.02669429500046748</v>
      </c>
    </row>
    <row r="30" ht="18" customHeight="1">
      <c r="B30" s="16" t="inlineStr">
        <is>
          <t>Altro: tabacchi, giochi, ETS, fondi di garanzia</t>
        </is>
      </c>
      <c r="C30" s="17" t="n">
        <v>-0.0541569353823549</v>
      </c>
      <c r="D30" s="17" t="n">
        <v>-0.07407380843555654</v>
      </c>
    </row>
    <row r="32" ht="18" customHeight="1">
      <c r="B32" s="18" t="inlineStr">
        <is>
          <t>A + B + C</t>
        </is>
      </c>
      <c r="C32" s="19">
        <f>C8+C15+C18</f>
        <v/>
      </c>
      <c r="D32" s="19">
        <f>D8+D15+D18</f>
        <v/>
      </c>
    </row>
    <row r="33" ht="18" customHeight="1">
      <c r="B33" s="20" t="inlineStr">
        <is>
          <t>Scarto rispetto al dato Istat (arrotondamenti e revisioni)</t>
        </is>
      </c>
      <c r="C33" s="21">
        <f>C32-C6</f>
        <v/>
      </c>
      <c r="D33" s="21">
        <f>D32-D6</f>
        <v/>
      </c>
    </row>
    <row r="35">
      <c r="B35" s="10" t="inlineStr">
        <is>
          <t>Elaborazione di Lorenzo Ruffino su dati Istat (conti nazionali, settembre 2026; gettito per imposta, aprile 2026), MEF e UPB.</t>
        </is>
      </c>
    </row>
    <row r="36">
      <c r="B36" s="11" t="inlineStr">
        <is>
          <t>Nota: eventuali mancate quadrature sono dovute agli arrotondamenti.</t>
        </is>
      </c>
    </row>
    <row r="37">
      <c r="B37" s="11" t="inlineStr">
        <is>
          <t>Nota: in B le aliquote sui redditi finanziari non cambiano; il gettito cresce perché crescono interessi, plusvalenze e patrimoni, che non fanno parte del PIL.</t>
        </is>
      </c>
    </row>
    <row r="38">
      <c r="B38" s="11" t="inlineStr">
        <is>
          <t>Nota: basi dello stesso anno; con le basi dell'anno prima per IRES, IRAP e autonomi, nel 2024 A sale e C scende di circa 0,6 punti (profitti 2023 incassati nel 2024).</t>
        </is>
      </c>
    </row>
    <row r="39">
      <c r="B39" s="11" t="inlineStr">
        <is>
          <t>Nota: fiscal drag stimato con elasticità IRPEF 1,7 (UPB); riflesso IRPEF della decontribuzione con aliquota marginale 28%.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2" customWidth="1" min="2" max="2"/>
    <col width="13" customWidth="1" min="3" max="3"/>
    <col width="13" customWidth="1" min="4" max="4"/>
  </cols>
  <sheetData>
    <row r="2" ht="22" customHeight="1">
      <c r="B2" s="1" t="inlineStr">
        <is>
          <t>Quanto conta l'occupazione</t>
        </is>
      </c>
    </row>
    <row r="3">
      <c r="B3" s="2" t="inlineStr">
        <is>
          <t>Crescita del lavoro e suo contributo alla variazione della pressione fiscale</t>
        </is>
      </c>
    </row>
    <row r="5" ht="30" customHeight="1">
      <c r="B5" s="3" t="inlineStr"/>
      <c r="C5" s="4" t="inlineStr">
        <is>
          <t>2024</t>
        </is>
      </c>
      <c r="D5" s="4" t="inlineStr">
        <is>
          <t>2025</t>
        </is>
      </c>
    </row>
    <row r="6" ht="18" customHeight="1">
      <c r="B6" s="5" t="inlineStr">
        <is>
          <t>Unità di lavoro dipendenti (var. %)</t>
        </is>
      </c>
      <c r="C6" s="6" t="n">
        <v>0.03180859110633394</v>
      </c>
      <c r="D6" s="6" t="n">
        <v>0.01011982847000992</v>
      </c>
    </row>
    <row r="7" ht="18" customHeight="1">
      <c r="B7" s="5" t="inlineStr">
        <is>
          <t>Unità di lavoro indipendenti (var. %)</t>
        </is>
      </c>
      <c r="C7" s="6" t="n">
        <v>-0.01068978278816901</v>
      </c>
      <c r="D7" s="6" t="n">
        <v>0.01812871386846582</v>
      </c>
    </row>
    <row r="8" ht="18" customHeight="1">
      <c r="B8" s="5" t="inlineStr">
        <is>
          <t>Unità di lavoro totali (var. %)</t>
        </is>
      </c>
      <c r="C8" s="6" t="n">
        <v>0.01967596825512929</v>
      </c>
      <c r="D8" s="6" t="n">
        <v>0.01233815142928885</v>
      </c>
    </row>
    <row r="9" ht="18" customHeight="1">
      <c r="B9" s="5" t="inlineStr">
        <is>
          <t>PIL reale (var. %)</t>
        </is>
      </c>
      <c r="C9" s="6" t="n">
        <v>0.01064756512744247</v>
      </c>
      <c r="D9" s="6" t="n">
        <v>0.006177114016855834</v>
      </c>
    </row>
    <row r="11" ht="18" customHeight="1">
      <c r="B11" s="12" t="inlineStr">
        <is>
          <t>Variazione della pressione fiscale (punti di PIL)</t>
        </is>
      </c>
      <c r="C11" s="13">
        <f>'2 Scomposizione'!C6</f>
        <v/>
      </c>
      <c r="D11" s="13">
        <f>'2 Scomposizione'!D6</f>
        <v/>
      </c>
    </row>
    <row r="12" ht="18" customHeight="1">
      <c r="B12" s="16" t="inlineStr">
        <is>
          <t>Più lavoro rispetto al PIL (unità di lavoro totali)</t>
        </is>
      </c>
      <c r="C12" s="17" t="n">
        <v>0.1434243976852379</v>
      </c>
      <c r="D12" s="17" t="n">
        <v>0.09918520132272661</v>
      </c>
    </row>
    <row r="13" ht="18" customHeight="1">
      <c r="B13" s="16" t="inlineStr">
        <is>
          <t>Più dipendenti e meno autonomi (a parità di lavoro totale)</t>
        </is>
      </c>
      <c r="C13" s="17" t="n">
        <v>0.1927377521989335</v>
      </c>
      <c r="D13" s="17" t="n">
        <v>-0.03571229885260931</v>
      </c>
    </row>
    <row r="14" ht="18" customHeight="1">
      <c r="B14" s="22" t="inlineStr">
        <is>
          <t>Effetto dell'occupazione, totale</t>
        </is>
      </c>
      <c r="C14" s="23">
        <f>C12+C13</f>
        <v/>
      </c>
      <c r="D14" s="23">
        <f>D12+D13</f>
        <v/>
      </c>
    </row>
    <row r="16" ht="18" customHeight="1">
      <c r="B16" s="5" t="inlineStr">
        <is>
          <t>Quota dell'aumento: più lavoro rispetto al PIL</t>
        </is>
      </c>
      <c r="C16" s="6">
        <f>C12/C11</f>
        <v/>
      </c>
      <c r="D16" s="6">
        <f>D12/D11</f>
        <v/>
      </c>
    </row>
    <row r="17" ht="18" customHeight="1">
      <c r="B17" s="5" t="inlineStr">
        <is>
          <t>Quota dell'aumento: più dipendenti e meno autonomi</t>
        </is>
      </c>
      <c r="C17" s="6">
        <f>C13/C11</f>
        <v/>
      </c>
      <c r="D17" s="6">
        <f>D13/D11</f>
        <v/>
      </c>
    </row>
    <row r="18" ht="18" customHeight="1">
      <c r="B18" s="8" t="inlineStr">
        <is>
          <t>Quota dell'aumento: effetto dell'occupazione, totale</t>
        </is>
      </c>
      <c r="C18" s="9">
        <f>C14/C11</f>
        <v/>
      </c>
      <c r="D18" s="9">
        <f>D14/D11</f>
        <v/>
      </c>
    </row>
    <row r="20">
      <c r="B20" s="10" t="inlineStr">
        <is>
          <t>Elaborazione di Lorenzo Ruffino su dati Istat (Conti economici nazionali, 22 settembre 2026).</t>
        </is>
      </c>
    </row>
    <row r="21">
      <c r="B21" s="11" t="inlineStr">
        <is>
          <t>Nota: il lavoro dipendente è tassato più di quello autonomo: se una parte degli autonomi diventa dipendente,</t>
        </is>
      </c>
    </row>
    <row r="22">
      <c r="B22" s="11" t="inlineStr">
        <is>
          <t>il gettito sale anche senza nuovi posti di lavoro. Nel 2025 gli autonomi crescono più dei dipendenti e l'effetto si inverte.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2" ht="22" customHeight="1">
      <c r="B2" s="1" t="inlineStr">
        <is>
          <t>Il fisco incassa di più dai redditi finanziari</t>
        </is>
      </c>
    </row>
    <row r="3">
      <c r="B3" s="2" t="inlineStr">
        <is>
          <t>Gettito delle imposte su interessi, dividendi, plusvalenze e patrimoni finanziari (miliardi di euro)</t>
        </is>
      </c>
    </row>
    <row r="5" ht="30" customHeight="1">
      <c r="B5" s="3" t="inlineStr"/>
      <c r="C5" s="4" t="inlineStr">
        <is>
          <t>2022</t>
        </is>
      </c>
      <c r="D5" s="4" t="inlineStr">
        <is>
          <t>2023</t>
        </is>
      </c>
      <c r="E5" s="4" t="inlineStr">
        <is>
          <t>2024</t>
        </is>
      </c>
      <c r="F5" s="4" t="inlineStr">
        <is>
          <t>2025</t>
        </is>
      </c>
    </row>
    <row r="6" ht="18" customHeight="1">
      <c r="B6" s="5" t="inlineStr">
        <is>
          <t>Ritenute sugli interessi (famiglie)</t>
        </is>
      </c>
      <c r="C6" s="24" t="n">
        <v>7.19</v>
      </c>
      <c r="D6" s="24" t="n">
        <v>10.15</v>
      </c>
      <c r="E6" s="24" t="n">
        <v>15.07</v>
      </c>
      <c r="F6" s="24" t="n">
        <v>17.02</v>
      </c>
    </row>
    <row r="7" ht="18" customHeight="1">
      <c r="B7" s="5" t="inlineStr">
        <is>
          <t>Dividendi (famiglie)</t>
        </is>
      </c>
      <c r="C7" s="24" t="n">
        <v>3.57</v>
      </c>
      <c r="D7" s="24" t="n">
        <v>5.09</v>
      </c>
      <c r="E7" s="24" t="n">
        <v>5.95</v>
      </c>
      <c r="F7" s="24" t="n">
        <v>6.2</v>
      </c>
    </row>
    <row r="8" ht="18" customHeight="1">
      <c r="B8" s="5" t="inlineStr">
        <is>
          <t>Risparmio gestito</t>
        </is>
      </c>
      <c r="C8" s="24" t="n">
        <v>0.34</v>
      </c>
      <c r="D8" s="24" t="n">
        <v>0.17</v>
      </c>
      <c r="E8" s="24" t="n">
        <v>2.87</v>
      </c>
      <c r="F8" s="24" t="n">
        <v>3.96</v>
      </c>
    </row>
    <row r="9" ht="18" customHeight="1">
      <c r="B9" s="5" t="inlineStr">
        <is>
          <t>Plusvalenze su azioni</t>
        </is>
      </c>
      <c r="C9" s="24" t="n">
        <v>2.48</v>
      </c>
      <c r="D9" s="24" t="n">
        <v>1.48</v>
      </c>
      <c r="E9" s="24" t="n">
        <v>2.26</v>
      </c>
      <c r="F9" s="24" t="n">
        <v>3.9</v>
      </c>
    </row>
    <row r="10" ht="18" customHeight="1">
      <c r="B10" s="5" t="inlineStr">
        <is>
          <t>Imposta di bollo</t>
        </is>
      </c>
      <c r="C10" s="24" t="n">
        <v>7.74</v>
      </c>
      <c r="D10" s="24" t="n">
        <v>6.75</v>
      </c>
      <c r="E10" s="24" t="n">
        <v>8.890000000000001</v>
      </c>
      <c r="F10" s="24" t="n">
        <v>9.5</v>
      </c>
    </row>
    <row r="11" ht="18" customHeight="1">
      <c r="B11" s="5" t="inlineStr">
        <is>
          <t>Assicurazioni vita e previdenza complementare</t>
        </is>
      </c>
      <c r="C11" s="24" t="n">
        <v>2.06</v>
      </c>
      <c r="D11" s="24" t="n">
        <v>2.42</v>
      </c>
      <c r="E11" s="24" t="n">
        <v>2.77</v>
      </c>
      <c r="F11" s="24" t="n">
        <v>3.01</v>
      </c>
    </row>
    <row r="12" ht="18" customHeight="1">
      <c r="B12" s="5" t="inlineStr">
        <is>
          <t>Prelievo straordinario polizze vita</t>
        </is>
      </c>
      <c r="C12" s="24" t="n">
        <v>0</v>
      </c>
      <c r="D12" s="24" t="n">
        <v>0</v>
      </c>
      <c r="E12" s="24" t="n">
        <v>0</v>
      </c>
      <c r="F12" s="24" t="n">
        <v>1.51</v>
      </c>
    </row>
    <row r="13" ht="18" customHeight="1">
      <c r="B13" s="5" t="inlineStr">
        <is>
          <t>Interessi imprese, Tobin tax, cripto</t>
        </is>
      </c>
      <c r="C13" s="24" t="n">
        <v>1.01</v>
      </c>
      <c r="D13" s="24" t="n">
        <v>1.47</v>
      </c>
      <c r="E13" s="24" t="n">
        <v>2.2</v>
      </c>
      <c r="F13" s="24" t="n">
        <v>2.66</v>
      </c>
    </row>
    <row r="14" ht="18" customHeight="1">
      <c r="B14" s="18" t="inlineStr">
        <is>
          <t>Totale</t>
        </is>
      </c>
      <c r="C14" s="25">
        <f>SUM(C6:C13)</f>
        <v/>
      </c>
      <c r="D14" s="25">
        <f>SUM(D6:D13)</f>
        <v/>
      </c>
      <c r="E14" s="25">
        <f>SUM(E6:E13)</f>
        <v/>
      </c>
      <c r="F14" s="25">
        <f>SUM(F6:F13)</f>
        <v/>
      </c>
    </row>
    <row r="15" ht="18" customHeight="1">
      <c r="B15" s="5" t="inlineStr">
        <is>
          <t>PIL (miliardi)</t>
        </is>
      </c>
      <c r="C15" s="24" t="n">
        <v>1998.3</v>
      </c>
      <c r="D15" s="24" t="n">
        <v>2141.8</v>
      </c>
      <c r="E15" s="24" t="n">
        <v>2210.6</v>
      </c>
      <c r="F15" s="24" t="n">
        <v>2265</v>
      </c>
    </row>
    <row r="16" ht="18" customHeight="1">
      <c r="B16" s="12" t="inlineStr">
        <is>
          <t>Totale in % del PIL</t>
        </is>
      </c>
      <c r="C16" s="26">
        <f>C14/C15</f>
        <v/>
      </c>
      <c r="D16" s="26">
        <f>D14/D15</f>
        <v/>
      </c>
      <c r="E16" s="26">
        <f>E14/E15</f>
        <v/>
      </c>
      <c r="F16" s="26">
        <f>F14/F15</f>
        <v/>
      </c>
    </row>
    <row r="18">
      <c r="B18" s="10" t="inlineStr">
        <is>
          <t>Elaborazione di Lorenzo Ruffino su dati Istat (gettito per imposta, aprile 2026; PIL, 22 settembre 2026).</t>
        </is>
      </c>
    </row>
    <row r="19">
      <c r="B19" s="11" t="inlineStr">
        <is>
          <t>Nota: l'imposta di bollo comprende anche quella su atti e documenti.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2" customWidth="1" min="2" max="2"/>
    <col width="14" customWidth="1" min="3" max="3"/>
  </cols>
  <sheetData>
    <row r="2" ht="22" customHeight="1">
      <c r="B2" s="1" t="inlineStr">
        <is>
          <t>Il taglio del cuneo 2025 e la pressione fiscale</t>
        </is>
      </c>
    </row>
    <row r="3">
      <c r="B3" s="2" t="inlineStr">
        <is>
          <t>Effetto sul gettito del passaggio da decontribuzione a detrazione più bonus (miliardi di euro)</t>
        </is>
      </c>
    </row>
    <row r="5" ht="30" customHeight="1">
      <c r="B5" s="3" t="inlineStr"/>
      <c r="C5" s="4" t="inlineStr">
        <is>
          <t>2025</t>
        </is>
      </c>
    </row>
    <row r="6" ht="18" customHeight="1">
      <c r="B6" s="5" t="inlineStr">
        <is>
          <t>Contributi dei dipendenti in % delle retribuzioni, 2024</t>
        </is>
      </c>
      <c r="C6" s="27" t="n">
        <v>0.0625524466839862</v>
      </c>
    </row>
    <row r="7" ht="18" customHeight="1">
      <c r="B7" s="5" t="inlineStr">
        <is>
          <t>Contributi dei dipendenti in % delle retribuzioni, 2025</t>
        </is>
      </c>
      <c r="C7" s="27" t="n">
        <v>0.08923824396489022</v>
      </c>
    </row>
    <row r="9" ht="18" customHeight="1">
      <c r="B9" s="5" t="inlineStr">
        <is>
          <t>Contributi tornati pieni (fine della decontribuzione)</t>
        </is>
      </c>
      <c r="C9" s="28" t="n">
        <v>17.59</v>
      </c>
    </row>
    <row r="10" ht="18" customHeight="1">
      <c r="B10" s="5" t="inlineStr">
        <is>
          <t>Nuova detrazione IRPEF (stima UPB)</t>
        </is>
      </c>
      <c r="C10" s="28" t="n">
        <v>-8.44</v>
      </c>
    </row>
    <row r="11" ht="18" customHeight="1">
      <c r="B11" s="5" t="inlineStr">
        <is>
          <t>Minore IRPEF perché i contributi riducono l'imponibile (stima)</t>
        </is>
      </c>
      <c r="C11" s="28" t="n">
        <v>-4.93</v>
      </c>
    </row>
    <row r="12" ht="18" customHeight="1">
      <c r="B12" s="18" t="inlineStr">
        <is>
          <t>Effetto netto sulle entrate</t>
        </is>
      </c>
      <c r="C12" s="29">
        <f>SUM(C9:C11)</f>
        <v/>
      </c>
    </row>
    <row r="13" ht="18" customHeight="1">
      <c r="B13" s="12" t="inlineStr">
        <is>
          <t>Effetto netto in punti di PIL</t>
        </is>
      </c>
      <c r="C13" s="13">
        <f>C12/2265.0*100</f>
        <v/>
      </c>
    </row>
    <row r="15" ht="18" customHeight="1">
      <c r="B15" s="5" t="inlineStr">
        <is>
          <t>Per confronto: bonus fino a 20 mila euro, registrato come spesa (UPB)</t>
        </is>
      </c>
      <c r="C15" s="24" t="n">
        <v>4.41</v>
      </c>
    </row>
    <row r="17">
      <c r="B17" s="10" t="inlineStr">
        <is>
          <t>Elaborazione di Lorenzo Ruffino su dati Istat e UPB (audizione sul DDL di bilancio 2025).</t>
        </is>
      </c>
    </row>
    <row r="18">
      <c r="B18" s="11" t="inlineStr">
        <is>
          <t>Nota: minore IRPEF stimata con un'aliquota marginale media del 28%.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1" customWidth="1" min="3" max="3"/>
    <col width="11" customWidth="1" min="4" max="4"/>
    <col width="11" customWidth="1" min="5" max="5"/>
  </cols>
  <sheetData>
    <row r="2" ht="22" customHeight="1">
      <c r="B2" s="1" t="inlineStr">
        <is>
          <t>Contributi dei datori: crescono con i salari</t>
        </is>
      </c>
    </row>
    <row r="3">
      <c r="B3" s="2" t="inlineStr">
        <is>
          <t>Contributi sociali a carico dei datori e retribuzioni lorde (miliardi di euro)</t>
        </is>
      </c>
    </row>
    <row r="5" ht="30" customHeight="1">
      <c r="B5" s="3" t="inlineStr"/>
      <c r="C5" s="4" t="inlineStr">
        <is>
          <t>2023</t>
        </is>
      </c>
      <c r="D5" s="4" t="inlineStr">
        <is>
          <t>2024</t>
        </is>
      </c>
      <c r="E5" s="4" t="inlineStr">
        <is>
          <t>2025</t>
        </is>
      </c>
    </row>
    <row r="6" ht="18" customHeight="1">
      <c r="B6" s="5" t="inlineStr">
        <is>
          <t>Contributi a carico dei datori</t>
        </is>
      </c>
      <c r="C6" s="24" t="n">
        <v>179.7</v>
      </c>
      <c r="D6" s="24" t="n">
        <v>189.1</v>
      </c>
      <c r="E6" s="24" t="n">
        <v>196.8</v>
      </c>
    </row>
    <row r="7" ht="18" customHeight="1">
      <c r="B7" s="5" t="inlineStr">
        <is>
          <t>Retribuzioni lorde</t>
        </is>
      </c>
      <c r="C7" s="24" t="n">
        <v>604</v>
      </c>
      <c r="D7" s="24" t="n">
        <v>636.1</v>
      </c>
      <c r="E7" s="24" t="n">
        <v>659.2</v>
      </c>
    </row>
    <row r="8" ht="18" customHeight="1">
      <c r="B8" s="8" t="inlineStr">
        <is>
          <t>Contributi in % delle retribuzioni</t>
        </is>
      </c>
      <c r="C8" s="30">
        <f>C6/C7</f>
        <v/>
      </c>
      <c r="D8" s="30">
        <f>D6/D7</f>
        <v/>
      </c>
      <c r="E8" s="30">
        <f>E6/E7</f>
        <v/>
      </c>
    </row>
    <row r="10">
      <c r="B10" s="10" t="inlineStr">
        <is>
          <t>Elaborazione di Lorenzo Ruffino su dati Istat (retribuzioni: 22 settembre 2026; contributi: aprile 2026).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130" customWidth="1" min="2" max="2"/>
  </cols>
  <sheetData>
    <row r="2">
      <c r="B2" s="1" t="inlineStr">
        <is>
          <t>Note metodologiche e fonti</t>
        </is>
      </c>
    </row>
    <row r="4">
      <c r="B4" s="31" t="inlineStr">
        <is>
          <t>Metodo: per ogni imposta, variazione del rapporto gettito/PIL = effetto base (la base cresce più/meno del PIL) + intensità (il gettito cresce più/meno della base).</t>
        </is>
      </c>
    </row>
    <row r="5">
      <c r="B5" s="31" t="inlineStr">
        <is>
          <t>L'effetto base è diviso in A (basi che fanno parte del PIL: redditi da lavoro, profitti, consumi) e B (redditi e patrimoni finanziari, rapportati al PIL).</t>
        </is>
      </c>
    </row>
    <row r="6">
      <c r="B6" s="31" t="inlineStr">
        <is>
          <t>Basi: retribuzioni lorde (contributi e IRPEF dei dipendenti), pensioni (IRPEF pensionati; prestazioni sociali in denaro al netto del bonus cuneo 2025),</t>
        </is>
      </c>
    </row>
    <row r="7">
      <c r="B7" s="31" t="inlineStr">
        <is>
          <t xml:space="preserve">   risultato lordo di gestione + reddito misto (IRES, IRAP, autonomi), consumi sul territorio (IVA, energia), PIL (finanza, immobili, altro).</t>
        </is>
      </c>
    </row>
    <row r="8">
      <c r="B8" s="31" t="inlineStr">
        <is>
          <t>IRPEF + addizionali ripartita con le quote MEF dell'imposta netta: dipendenti 53,3% (a.i. 2023) e 53,9% (a.i. 2024), pensionati 30,2% e 30,9%.</t>
        </is>
      </c>
    </row>
    <row r="9">
      <c r="B9" s="31" t="inlineStr">
        <is>
          <t>Occupazione: prelievo sul lavoro dipendente × (crescita unità di lavoro / crescita PIL reale − 1).</t>
        </is>
      </c>
    </row>
    <row r="10">
      <c r="B10" s="31" t="inlineStr">
        <is>
          <t>Misure: riforma IRPEF 2024 = 4,3 mld (MEF); cuneo 2025 = detrazione 8,44 mld + bonus 4,41 mld (UPB); decontribuzione 2024 = 10,7 mld netti (UPB).</t>
        </is>
      </c>
    </row>
    <row r="11">
      <c r="B11" s="31" t="inlineStr">
        <is>
          <t>Robustezza: con base dell'anno prima per IRES/IRAP/autonomi, 2024 composizione +0,77 e intensità +0,21; fiscal drag con elasticità 1,5-1,7: 2024 +0,13/+0,18, 2025 +0,10/+0,14.</t>
        </is>
      </c>
    </row>
    <row r="12">
      <c r="B12" s="31" t="inlineStr">
        <is>
          <t>Fonti: Istat, Conti economici nazionali 2010-2025 (22/9/2026); Istat esploradati 95_815_DF_DCCN_FPA_5 (ed. 2026M4); MEF, Bollettino entrate dicembre 2025;</t>
        </is>
      </c>
    </row>
    <row r="13">
      <c r="B13" s="31" t="inlineStr">
        <is>
          <t xml:space="preserve">   MEF, Statistiche dichiarazioni IRPEF; UPB, Audizioni sui DDL di bilancio 2024 e 2025; Banca d'Italia, Relazione annuale sul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2026-09-25T08:03:42Z</dcterms:created>
  <dcterms:modified xmlns:dcterms="http://purl.org/dc/terms/" xmlns:xsi="http://www.w3.org/2001/XMLSchema-instance" xsi:type="dcterms:W3CDTF">2026-09-25T08:03:42Z</dcterms:modified>
</cp:coreProperties>
</file>