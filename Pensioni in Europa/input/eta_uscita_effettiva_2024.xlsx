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ustomProperty3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Varkki_H\AppData\Local\Temp\xfjgoitt\STATLINK\"/>
    </mc:Choice>
  </mc:AlternateContent>
  <xr:revisionPtr revIDLastSave="0" documentId="13_ncr:1_{333ADCB0-2BC3-46B8-9F5E-49493B7B970A}" xr6:coauthVersionLast="47" xr6:coauthVersionMax="47" xr10:uidLastSave="{00000000-0000-0000-0000-000000000000}"/>
  <x:bookViews>
    <x:workbookView xWindow="1480" yWindow="1480" windowWidth="21320" windowHeight="15370" activeTab="0" xr2:uid="{00000000-000D-0000-FFFF-FFFF00000000}"/>
  </x:bookViews>
  <x:sheets>
    <x:sheet name="g6-13" sheetId="1" r:id="rId1"/>
    <x:sheet name="Data" sheetId="2" r:id="rId2"/>
    <x:sheet name="About this file" sheetId="3" r:id="Rae427ae8549e4c36"/>
  </x:sheets>
  <x:definedNames>
    <x:definedName name="Country_Mean" localSheetId="0">#REF!</x:definedName>
    <x:definedName name="Country_Mean">#REF!</x:definedName>
    <x:definedName name="_xlnm.Print_Area" localSheetId="0">'g6-13'!$A$3:$M$52</x:definedName>
    <x:definedName name="_xlnm.Print_Area">#REF!</x:definedName>
    <x:definedName name="_xlnm.Print_Titles">#REF!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F23" i="1" l="1"/>
  <c r="F10" i="1"/>
  <c r="G50" i="1" l="1"/>
  <c r="H49" i="1"/>
  <c r="H48" i="1"/>
  <c r="H47" i="1"/>
  <c r="H46" i="1"/>
  <c r="F48" i="1"/>
  <c r="F47" i="1"/>
  <c r="F49" i="1"/>
  <c r="F46" i="1"/>
  <c r="G24" i="1"/>
  <c r="G31" i="1"/>
  <c r="G8" i="1"/>
  <c r="G36" i="1"/>
  <c r="G41" i="1"/>
  <c r="G39" i="1"/>
  <c r="H23" i="1" l="1"/>
  <c r="G46" i="1"/>
  <c r="G49" i="1"/>
  <c r="G48" i="1"/>
  <c r="G47" i="1"/>
  <c r="G26" i="1"/>
  <c r="G42" i="1"/>
  <c r="G9" i="1"/>
  <c r="G37" i="1"/>
  <c r="G7" i="1"/>
  <c r="G25" i="1"/>
  <c r="G16" i="1"/>
  <c r="G6" i="1"/>
  <c r="G21" i="1"/>
  <c r="G40" i="1"/>
  <c r="G44" i="1"/>
  <c r="G30" i="1"/>
  <c r="G11" i="1"/>
  <c r="G22" i="1"/>
  <c r="G23" i="1"/>
  <c r="G17" i="1"/>
  <c r="G38" i="1"/>
  <c r="G14" i="1"/>
  <c r="G27" i="1"/>
  <c r="G19" i="1"/>
  <c r="G35" i="1"/>
  <c r="G12" i="1"/>
  <c r="G18" i="1"/>
  <c r="G20" i="1"/>
  <c r="G28" i="1"/>
  <c r="G34" i="1"/>
  <c r="G15" i="1"/>
  <c r="G43" i="1"/>
  <c r="G33" i="1"/>
  <c r="G10" i="1"/>
  <c r="G13" i="1"/>
  <c r="G32" i="1"/>
  <c r="G29" i="1"/>
  <c r="H10" i="1" l="1"/>
  <c r="H50" i="1" l="1"/>
  <c r="F50" i="1"/>
  <c r="H30" i="1" l="1"/>
  <c r="H32" i="1"/>
  <c r="H42" i="1"/>
  <c r="F40" i="1"/>
  <c r="F31" i="1"/>
  <c r="F30" i="1"/>
  <c r="F17" i="1"/>
  <c r="H34" i="1"/>
  <c r="H28" i="1"/>
  <c r="H33" i="1"/>
  <c r="F21" i="1"/>
  <c r="H7" i="1"/>
  <c r="H8" i="1"/>
  <c r="F34" i="1"/>
  <c r="H37" i="1"/>
  <c r="F6" i="1" l="1"/>
  <c r="F27" i="1"/>
  <c r="H25" i="1"/>
  <c r="H36" i="1"/>
  <c r="F12" i="1"/>
  <c r="F26" i="1"/>
  <c r="F16" i="1"/>
  <c r="F41" i="1"/>
  <c r="F35" i="1"/>
  <c r="F9" i="1"/>
  <c r="F39" i="1"/>
  <c r="H15" i="1"/>
  <c r="F15" i="1"/>
  <c r="F28" i="1"/>
  <c r="H6" i="1"/>
  <c r="H26" i="1"/>
  <c r="F8" i="1"/>
  <c r="F14" i="1"/>
  <c r="H31" i="1"/>
  <c r="H38" i="1"/>
  <c r="H11" i="1"/>
  <c r="F13" i="1"/>
  <c r="H40" i="1"/>
  <c r="H20" i="1"/>
  <c r="F18" i="1"/>
  <c r="H44" i="1"/>
  <c r="F33" i="1"/>
  <c r="F38" i="1"/>
  <c r="F7" i="1"/>
  <c r="H18" i="1"/>
  <c r="H17" i="1"/>
  <c r="H9" i="1"/>
  <c r="H16" i="1"/>
  <c r="F19" i="1"/>
  <c r="F36" i="1"/>
  <c r="F44" i="1"/>
  <c r="F11" i="1"/>
  <c r="H43" i="1"/>
  <c r="H35" i="1"/>
  <c r="H27" i="1"/>
  <c r="F29" i="1"/>
  <c r="F32" i="1"/>
  <c r="H12" i="1"/>
  <c r="H19" i="1"/>
  <c r="H21" i="1"/>
  <c r="F20" i="1"/>
  <c r="H29" i="1"/>
  <c r="F43" i="1"/>
  <c r="F42" i="1"/>
  <c r="F37" i="1"/>
  <c r="F25" i="1"/>
  <c r="H14" i="1"/>
  <c r="H13" i="1"/>
  <c r="H41" i="1"/>
  <c r="H39" i="1" l="1"/>
  <c r="H22" i="1"/>
  <c r="F22" i="1" l="1"/>
  <c r="H24" i="1"/>
  <c r="F24" i="1" l="1"/>
</calcChain>
</file>

<file path=xl/sharedStrings.xml><?xml version="1.0" encoding="utf-8"?>
<sst xmlns="http://schemas.openxmlformats.org/spreadsheetml/2006/main" count="68" uniqueCount="63">
  <si>
    <t>Men/Hommes</t>
  </si>
  <si>
    <t>Women/Femmes</t>
  </si>
  <si>
    <t>Effective</t>
  </si>
  <si>
    <t>Normal</t>
  </si>
  <si>
    <t>Year</t>
  </si>
  <si>
    <t>Korea</t>
  </si>
  <si>
    <t>Mexico</t>
  </si>
  <si>
    <t>Chile</t>
  </si>
  <si>
    <t>Japan</t>
  </si>
  <si>
    <t>Iceland</t>
  </si>
  <si>
    <t>Israel</t>
  </si>
  <si>
    <t>Portugal</t>
  </si>
  <si>
    <t>New Zealand</t>
  </si>
  <si>
    <t>Ireland</t>
  </si>
  <si>
    <t>United States</t>
  </si>
  <si>
    <t>Norway</t>
  </si>
  <si>
    <t>Switzerland</t>
  </si>
  <si>
    <t>Canada</t>
  </si>
  <si>
    <t>Sweden</t>
  </si>
  <si>
    <t>Australia</t>
  </si>
  <si>
    <t>OECD</t>
  </si>
  <si>
    <t>Estonia</t>
  </si>
  <si>
    <t>United Kingdom</t>
  </si>
  <si>
    <t>Denmark</t>
  </si>
  <si>
    <t>Hungary</t>
  </si>
  <si>
    <t>Netherlands</t>
  </si>
  <si>
    <t>Germany</t>
  </si>
  <si>
    <t>Finland</t>
  </si>
  <si>
    <t>Poland</t>
  </si>
  <si>
    <t>Slovenia</t>
  </si>
  <si>
    <t>Spain</t>
  </si>
  <si>
    <t>Italy</t>
  </si>
  <si>
    <t>Austria</t>
  </si>
  <si>
    <t>Latvia</t>
  </si>
  <si>
    <t>Greece</t>
  </si>
  <si>
    <t>Belgium</t>
  </si>
  <si>
    <t>Luxembourg</t>
  </si>
  <si>
    <t>Slovak Republic</t>
  </si>
  <si>
    <t>France</t>
  </si>
  <si>
    <t>Lithuania</t>
  </si>
  <si>
    <t>Difference Men-Women</t>
  </si>
  <si>
    <t>Gap</t>
  </si>
  <si>
    <t>Auxiliary</t>
  </si>
  <si>
    <t>Panel A. Men</t>
  </si>
  <si>
    <t>Panel B. Women</t>
  </si>
  <si>
    <t>Data on average effective labour market exit age (based on labour market participation rates)</t>
  </si>
  <si>
    <t>Colombia</t>
  </si>
  <si>
    <t>Costa Rica</t>
  </si>
  <si>
    <t>Brazil</t>
  </si>
  <si>
    <t>Argentina</t>
  </si>
  <si>
    <t>India</t>
  </si>
  <si>
    <t>South Africa</t>
  </si>
  <si>
    <t>Bulgaria</t>
  </si>
  <si>
    <t>Croatia</t>
  </si>
  <si>
    <t>Cyprus</t>
  </si>
  <si>
    <t>Malta</t>
  </si>
  <si>
    <t>Romania</t>
  </si>
  <si>
    <t>EU27</t>
  </si>
  <si>
    <t>Türkiye</t>
  </si>
  <si>
    <t>Czechia</t>
  </si>
  <si>
    <t>Figure 6.13. Average effective age of labour-market exit and normal retirement age in 2024</t>
  </si>
  <si>
    <t>Source: OECD estimates based on the results of national labour force surveys and the European Union Labour Force Survey. Normal retirement age data: See Chapter 3.</t>
  </si>
  <si>
    <t>Note: Effective labour market exit age is shown for 2024. Normal retirement age is shown for individuals retiring in 2024 after a full career from labour market entry at age 22.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</si>
</sst>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164" formatCode="0.0"/>
    <x:numFmt numFmtId="165" formatCode="yyyy"/>
    <x:numFmt numFmtId="166" formatCode="#,##0.0"/>
    <x:numFmt numFmtId="167" formatCode="#,##0.000"/>
    <x:numFmt numFmtId="168" formatCode="General_)"/>
  </x:numFmts>
  <x:fonts count="21" x14ac:knownFonts="1">
    <x:font>
      <x:sz val="10"/>
      <x:color theme="1"/>
      <x:name val="Arial"/>
      <x:family val="2"/>
    </x:font>
    <x:font>
      <x:sz val="10"/>
      <x:name val="Times New Roman"/>
      <x:family val="1"/>
    </x:font>
    <x:font>
      <x:b/>
      <x:sz val="11"/>
      <x:name val="Arial"/>
      <x:family val="2"/>
    </x:font>
    <x:font>
      <x:sz val="11"/>
      <x:name val="Times New Roman"/>
      <x:family val="1"/>
    </x:font>
    <x:font>
      <x:b/>
      <x:sz val="10"/>
      <x:name val="Times New Roman"/>
      <x:family val="1"/>
    </x:font>
    <x:font>
      <x:sz val="10"/>
      <x:color rgb="FFFF0000"/>
      <x:name val="Times New Roman"/>
      <x:family val="1"/>
    </x:font>
    <x:font>
      <x:sz val="10"/>
      <x:color theme="1"/>
      <x:name val="Times New Roman"/>
      <x:family val="1"/>
    </x:font>
    <x:font>
      <x:sz val="10"/>
      <x:name val="Arial"/>
      <x:family val="2"/>
    </x:font>
    <x:font>
      <x:sz val="9"/>
      <x:name val="Times"/>
      <x:family val="1"/>
    </x:font>
    <x:font>
      <x:sz val="1"/>
      <x:color indexed="8"/>
      <x:name val="Courier"/>
      <x:family val="3"/>
    </x:font>
    <x:font>
      <x:sz val="8"/>
      <x:name val="Arial"/>
      <x:family val="2"/>
    </x:font>
    <x:font>
      <x:sz val="11"/>
      <x:color theme="1"/>
      <x:name val="Calibri"/>
      <x:family val="2"/>
      <x:scheme val="minor"/>
    </x:font>
    <x:font>
      <x:i/>
      <x:sz val="8"/>
      <x:name val="Times New Roman"/>
      <x:family val="1"/>
    </x:font>
    <x:font>
      <x:u/>
      <x:sz val="10"/>
      <x:name val="Times New Roman"/>
      <x:family val="1"/>
    </x:font>
    <x:font>
      <x:sz val="8"/>
      <x:color theme="1"/>
      <x:name val="Arial"/>
      <x:family val="2"/>
    </x:font>
    <x:font>
      <x:b/>
      <x:sz val="10"/>
      <x:color rgb="FF000000"/>
      <x:name val="Arial Narrow"/>
      <x:family val="2"/>
    </x:font>
    <x:font>
      <x:sz val="10"/>
      <x:color rgb="FF000000"/>
      <x:name val="Arial Narrow"/>
      <x:family val="2"/>
    </x:font>
    <x:font>
      <x:sz val="11"/>
      <x:color rgb="FF000000"/>
      <x:name val="Arial Narrow"/>
      <x:family val="2"/>
    </x:font>
    <x:font>
      <x:b/>
      <x:sz val="8"/>
      <x:color rgb="FF000000"/>
      <x:name val="Arial Narrow"/>
      <x:family val="2"/>
    </x:font>
    <x:font>
      <x:sz val="5.5"/>
      <x:color rgb="FF000000"/>
      <x:name val="Arial Narrow"/>
      <x:family val="2"/>
    </x:font>
    <x:font>
      <x:b/>
      <x:sz val="5.5"/>
      <x:color rgb="FF000000"/>
      <x:name val="Arial Narrow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3">
    <x:xf numFmtId="0" fontId="0" fillId="0" borderId="0"/>
    <x:xf numFmtId="0" fontId="1" fillId="0" borderId="0"/>
    <x:xf numFmtId="0" fontId="3" fillId="0" borderId="0"/>
    <x:xf numFmtId="0" fontId="7" fillId="0" borderId="0"/>
    <x:xf numFmtId="3" fontId="8" fillId="0" borderId="0">
      <x:alignment horizontal="right"/>
    </x:xf>
    <x:xf numFmtId="166" fontId="8" fillId="0" borderId="0">
      <x:alignment horizontal="right" vertical="top"/>
    </x:xf>
    <x:xf numFmtId="167" fontId="8" fillId="0" borderId="0">
      <x:alignment horizontal="right" vertical="top"/>
    </x:xf>
    <x:xf numFmtId="3" fontId="8" fillId="0" borderId="0">
      <x:alignment horizontal="right"/>
    </x:xf>
    <x:xf numFmtId="166" fontId="8" fillId="0" borderId="0">
      <x:alignment horizontal="right" vertical="top"/>
    </x:xf>
    <x:xf numFmtId="0" fontId="9" fillId="0" borderId="0">
      <x:protection locked="0"/>
    </x:xf>
    <x:xf numFmtId="0" fontId="9" fillId="0" borderId="0">
      <x:protection locked="0"/>
    </x:xf>
    <x:xf numFmtId="0" fontId="9" fillId="0" borderId="0">
      <x:protection locked="0"/>
    </x:xf>
    <x:xf numFmtId="0" fontId="9" fillId="0" borderId="0">
      <x:protection locked="0"/>
    </x:xf>
    <x:xf numFmtId="0" fontId="7" fillId="0" borderId="0"/>
    <x:xf numFmtId="0" fontId="10" fillId="0" borderId="0"/>
    <x:xf numFmtId="0" fontId="11" fillId="0" borderId="0"/>
    <x:xf numFmtId="1" fontId="8" fillId="0" borderId="0">
      <x:alignment horizontal="right" vertical="top"/>
    </x:xf>
    <x:xf numFmtId="168" fontId="8" fillId="0" borderId="0">
      <x:alignment horizontal="right" vertical="top"/>
    </x:xf>
    <x:xf numFmtId="9" fontId="10" fillId="0" borderId="0" applyFont="0" applyFill="0" applyBorder="0" applyAlignment="0" applyProtection="0"/>
    <x:xf numFmtId="168" fontId="1" fillId="0" borderId="0" applyNumberFormat="0" applyBorder="0" applyAlignment="0"/>
    <x:xf numFmtId="168" fontId="1" fillId="0" borderId="0" applyNumberFormat="0" applyBorder="0" applyAlignment="0"/>
    <x:xf numFmtId="1" fontId="8" fillId="0" borderId="0">
      <x:alignment vertical="top" wrapText="1"/>
    </x:xf>
    <x:xf numFmtId="0" fontId="7" fillId="0" borderId="0"/>
  </x:cellStyleXfs>
  <x:cellXfs count="57">
    <x:xf numFmtId="0" fontId="0" fillId="0" borderId="0" xfId="0"/>
    <x:xf numFmtId="0" fontId="1" fillId="2" borderId="0" xfId="2" applyFont="1" applyFill="1"/>
    <x:xf numFmtId="0" fontId="1" fillId="2" borderId="0" xfId="2" applyFont="1" applyFill="1" applyBorder="1"/>
    <x:xf numFmtId="0" fontId="1" fillId="2" borderId="1" xfId="2" applyFont="1" applyFill="1" applyBorder="1" applyAlignment="1"/>
    <x:xf numFmtId="164" fontId="1" fillId="2" borderId="0" xfId="2" applyNumberFormat="1" applyFont="1" applyFill="1" applyBorder="1" applyAlignment="1"/>
    <x:xf numFmtId="0" fontId="0" fillId="2" borderId="0" xfId="0" applyFill="1" applyBorder="1"/>
    <x:xf numFmtId="0" fontId="1" fillId="2" borderId="1" xfId="2" applyFont="1" applyFill="1" applyBorder="1"/>
    <x:xf numFmtId="164" fontId="1" fillId="2" borderId="0" xfId="2" applyNumberFormat="1" applyFont="1" applyFill="1"/>
    <x:xf numFmtId="0" fontId="5" fillId="2" borderId="0" xfId="2" applyFont="1" applyFill="1"/>
    <x:xf numFmtId="0" fontId="0" fillId="2" borderId="0" xfId="0" applyFill="1"/>
    <x:xf numFmtId="164" fontId="0" fillId="2" borderId="0" xfId="0" applyNumberFormat="1" applyFill="1"/>
    <x:xf numFmtId="0" fontId="0" fillId="2" borderId="0" xfId="0" applyNumberFormat="1" applyFill="1"/>
    <x:xf numFmtId="164" fontId="7" fillId="2" borderId="0" xfId="3" applyNumberFormat="1" applyFill="1"/>
    <x:xf numFmtId="165" fontId="0" fillId="2" borderId="0" xfId="0" applyNumberFormat="1" applyFill="1"/>
    <x:xf numFmtId="0" fontId="6" fillId="2" borderId="0" xfId="2" applyFont="1" applyFill="1" applyBorder="1" applyAlignment="1"/>
    <x:xf numFmtId="164" fontId="12" fillId="2" borderId="0" xfId="2" applyNumberFormat="1" applyFont="1" applyFill="1" applyBorder="1" applyAlignment="1">
      <x:alignment horizontal="center"/>
    </x:xf>
    <x:xf numFmtId="0" fontId="13" fillId="2" borderId="0" xfId="2" applyFont="1" applyFill="1"/>
    <x:xf numFmtId="0" fontId="1" fillId="0" borderId="0" xfId="2" applyFont="1" applyFill="1"/>
    <x:xf numFmtId="0" fontId="1" fillId="2" borderId="0" xfId="2" applyFont="1" applyFill="1" applyBorder="1" applyAlignment="1">
      <x:alignment horizontal="center"/>
    </x:xf>
    <x:xf numFmtId="0" fontId="12" fillId="2" borderId="0" xfId="2" applyFont="1" applyFill="1" applyBorder="1"/>
    <x:xf numFmtId="164" fontId="1" fillId="2" borderId="0" xfId="2" applyNumberFormat="1" applyFont="1" applyFill="1" applyBorder="1"/>
    <x:xf numFmtId="1" fontId="1" fillId="2" borderId="0" xfId="2" applyNumberFormat="1" applyFont="1" applyFill="1" applyBorder="1"/>
    <x:xf numFmtId="164" fontId="6" fillId="2" borderId="0" xfId="2" applyNumberFormat="1" applyFont="1" applyFill="1" applyBorder="1" applyAlignment="1"/>
    <x:xf numFmtId="0" fontId="14" fillId="2" borderId="0" xfId="0" applyFont="1" applyFill="1"/>
    <x:xf numFmtId="164" fontId="14" fillId="2" borderId="0" xfId="0" applyNumberFormat="1" applyFont="1" applyFill="1"/>
    <x:xf numFmtId="0" fontId="16" fillId="0" borderId="0" xfId="2" applyFont="1" applyFill="1"/>
    <x:xf numFmtId="0" fontId="2" fillId="2" borderId="0" xfId="1" applyFont="1" applyFill="1" applyAlignment="1"/>
    <x:xf numFmtId="0" fontId="16" fillId="2" borderId="0" xfId="2" applyFont="1" applyFill="1"/>
    <x:xf numFmtId="0" fontId="16" fillId="2" borderId="0" xfId="2" applyFont="1" applyFill="1" applyBorder="1"/>
    <x:xf numFmtId="0" fontId="17" fillId="2" borderId="0" xfId="2" applyFont="1" applyFill="1" applyBorder="1" applyAlignment="1">
      <x:alignment horizontal="center"/>
    </x:xf>
    <x:xf numFmtId="164" fontId="16" fillId="2" borderId="0" xfId="2" applyNumberFormat="1" applyFont="1" applyFill="1" applyBorder="1" applyAlignment="1">
      <x:alignment horizontal="center"/>
    </x:xf>
    <x:xf numFmtId="0" fontId="3" fillId="2" borderId="0" xfId="2" applyFont="1" applyFill="1" applyBorder="1" applyAlignment="1">
      <x:alignment horizontal="center"/>
    </x:xf>
    <x:xf numFmtId="164" fontId="1" fillId="2" borderId="0" xfId="2" applyNumberFormat="1" applyFont="1" applyFill="1" applyBorder="1" applyAlignment="1">
      <x:alignment horizontal="center"/>
    </x:xf>
    <x:xf numFmtId="0" fontId="1" fillId="2" borderId="0" xfId="2" applyFont="1" applyFill="1" applyAlignment="1">
      <x:alignment vertical="top"/>
    </x:xf>
    <x:xf numFmtId="1" fontId="1" fillId="2" borderId="0" xfId="2" applyNumberFormat="1" applyFont="1" applyFill="1" applyBorder="1" applyAlignment="1"/>
    <x:xf numFmtId="0" fontId="1" fillId="2" borderId="0" xfId="2" applyFont="1" applyFill="1" applyAlignment="1">
      <x:alignment horizontal="left"/>
    </x:xf>
    <x:xf numFmtId="0" fontId="4" fillId="2" borderId="1" xfId="2" applyFont="1" applyFill="1" applyBorder="1" applyAlignment="1"/>
    <x:xf numFmtId="164" fontId="4" fillId="2" borderId="0" xfId="2" applyNumberFormat="1" applyFont="1" applyFill="1" applyBorder="1" applyAlignment="1"/>
    <x:xf numFmtId="164" fontId="4" fillId="2" borderId="0" xfId="2" applyNumberFormat="1" applyFont="1" applyFill="1" applyBorder="1" applyAlignment="1">
      <x:alignment horizontal="center"/>
    </x:xf>
    <x:xf numFmtId="0" fontId="1" fillId="2" borderId="0" xfId="2" applyFont="1" applyFill="1" applyAlignment="1">
      <x:alignment horizontal="center"/>
    </x:xf>
    <x:xf numFmtId="0" fontId="2" fillId="0" borderId="0" xfId="1" applyFont="1" applyFill="1" applyAlignment="1"/>
    <x:xf numFmtId="0" fontId="1" fillId="0" borderId="0" xfId="1" applyFont="1" applyFill="1" applyAlignment="1">
      <x:alignment horizontal="center"/>
    </x:xf>
    <x:xf numFmtId="0" fontId="15" fillId="0" borderId="0" xfId="1" applyFont="1" applyFill="1" applyAlignment="1">
      <x:alignment horizontal="center"/>
    </x:xf>
    <x:xf numFmtId="0" fontId="16" fillId="0" borderId="0" xfId="1" applyFont="1" applyFill="1"/>
    <x:xf numFmtId="164" fontId="19" fillId="0" borderId="0" xfId="2" applyNumberFormat="1" applyFont="1" applyFill="1" applyAlignment="1">
      <x:alignment horizontal="left" vertical="center"/>
    </x:xf>
    <x:xf numFmtId="0" fontId="19" fillId="0" borderId="0" xfId="2" applyFont="1" applyFill="1" applyBorder="1" applyAlignment="1">
      <x:alignment horizontal="center" vertical="center"/>
    </x:xf>
    <x:xf numFmtId="164" fontId="19" fillId="0" borderId="0" xfId="2" applyNumberFormat="1" applyFont="1" applyFill="1" applyBorder="1" applyAlignment="1">
      <x:alignment horizontal="right" vertical="center"/>
    </x:xf>
    <x:xf numFmtId="164" fontId="20" fillId="0" borderId="0" xfId="2" applyNumberFormat="1" applyFont="1" applyFill="1" applyAlignment="1">
      <x:alignment horizontal="left" vertical="center"/>
    </x:xf>
    <x:xf numFmtId="0" fontId="20" fillId="0" borderId="0" xfId="2" applyFont="1" applyFill="1" applyBorder="1" applyAlignment="1">
      <x:alignment horizontal="center" vertical="center"/>
    </x:xf>
    <x:xf numFmtId="164" fontId="20" fillId="0" borderId="0" xfId="2" applyNumberFormat="1" applyFont="1" applyFill="1" applyBorder="1" applyAlignment="1">
      <x:alignment horizontal="right" vertical="center"/>
    </x:xf>
    <x:xf numFmtId="0" fontId="16" fillId="0" borderId="0" xfId="2" applyFont="1" applyFill="1" applyAlignment="1">
      <x:alignment vertical="top" wrapText="1"/>
    </x:xf>
    <x:xf numFmtId="0" fontId="16" fillId="0" borderId="0" xfId="2" applyFont="1" applyFill="1" applyBorder="1"/>
    <x:xf numFmtId="0" fontId="19" fillId="0" borderId="0" xfId="2" applyFont="1" applyFill="1" applyBorder="1" applyAlignment="1">
      <x:alignment horizontal="right" vertical="center"/>
    </x:xf>
    <x:xf numFmtId="0" fontId="17" fillId="0" borderId="0" xfId="2" applyFont="1" applyFill="1" applyBorder="1" applyAlignment="1">
      <x:alignment horizontal="center"/>
    </x:xf>
    <x:xf numFmtId="164" fontId="16" fillId="0" borderId="0" xfId="2" applyNumberFormat="1" applyFont="1" applyFill="1" applyBorder="1" applyAlignment="1">
      <x:alignment horizontal="center"/>
    </x:xf>
    <x:xf numFmtId="0" fontId="18" fillId="0" borderId="0" xfId="1" applyFont="1" applyFill="1" applyAlignment="1">
      <x:alignment horizontal="center"/>
    </x:xf>
    <x:xf numFmtId="0" fontId="1" fillId="2" borderId="0" xfId="2" applyFont="1" applyFill="1" applyBorder="1" applyAlignment="1">
      <x:alignment horizontal="center"/>
    </x:xf>
    <x:xf fontId="21"/>
    <x:xf fontId="22"/>
    <x:xf fontId="23"/>
  </x:cellXfs>
  <x:cellStyles count="23">
    <x:cellStyle name="Comma(0)" xfId="4" xr:uid="{00000000-0005-0000-0000-000000000000}"/>
    <x:cellStyle name="comma(1)" xfId="5" xr:uid="{00000000-0005-0000-0000-000001000000}"/>
    <x:cellStyle name="Comma(3)" xfId="6" xr:uid="{00000000-0005-0000-0000-000002000000}"/>
    <x:cellStyle name="Comma[0]" xfId="7" xr:uid="{00000000-0005-0000-0000-000003000000}"/>
    <x:cellStyle name="Comma[1]" xfId="8" xr:uid="{00000000-0005-0000-0000-000004000000}"/>
    <x:cellStyle name="Comma0" xfId="9" xr:uid="{00000000-0005-0000-0000-000005000000}"/>
    <x:cellStyle name="Currency0" xfId="10" xr:uid="{00000000-0005-0000-0000-000006000000}"/>
    <x:cellStyle name="Date" xfId="11" xr:uid="{00000000-0005-0000-0000-000007000000}"/>
    <x:cellStyle name="Fixed" xfId="12" xr:uid="{00000000-0005-0000-0000-000008000000}"/>
    <x:cellStyle name="Normal" xfId="0" builtinId="0"/>
    <x:cellStyle name="Normal 2" xfId="2" xr:uid="{00000000-0005-0000-0000-00000A000000}"/>
    <x:cellStyle name="Normal 2 2" xfId="13" xr:uid="{00000000-0005-0000-0000-00000B000000}"/>
    <x:cellStyle name="Normal 2 3" xfId="3" xr:uid="{00000000-0005-0000-0000-00000C000000}"/>
    <x:cellStyle name="Normal 3" xfId="14" xr:uid="{00000000-0005-0000-0000-00000D000000}"/>
    <x:cellStyle name="Normal 4" xfId="15" xr:uid="{00000000-0005-0000-0000-00000E000000}"/>
    <x:cellStyle name="Normal_Book4" xfId="1" xr:uid="{00000000-0005-0000-0000-00000F000000}"/>
    <x:cellStyle name="Normal-droit" xfId="16" xr:uid="{00000000-0005-0000-0000-000010000000}"/>
    <x:cellStyle name="Normal-droite" xfId="17" xr:uid="{00000000-0005-0000-0000-000011000000}"/>
    <x:cellStyle name="Percent 2" xfId="18" xr:uid="{00000000-0005-0000-0000-000012000000}"/>
    <x:cellStyle name="Snorm" xfId="19" xr:uid="{00000000-0005-0000-0000-000013000000}"/>
    <x:cellStyle name="socxn" xfId="20" xr:uid="{00000000-0005-0000-0000-000014000000}"/>
    <x:cellStyle name="Wrapped" xfId="21" xr:uid="{00000000-0005-0000-0000-000015000000}"/>
    <x:cellStyle name="標準_SOCX_JPN97" xfId="22" xr:uid="{00000000-0005-0000-0000-000016000000}"/>
  </x:cellStyles>
  <x:dxfs count="0"/>
  <x:tableStyles count="0" defaultTableStyle="TableStyleMedium2" defaultPivotStyle="PivotStyleLight16"/>
  <x:colors>
    <x:mruColors>
      <x:color rgb="FF4F81BD"/>
      <x:color rgb="FF90CDD3"/>
      <x:color rgb="FFEAEAEA"/>
      <x:color rgb="FF006BB6"/>
      <x:color rgb="FF7FA8D9"/>
      <x:color rgb="FF00AA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customXml" Target="../customXml/item5.xml" Id="rId11" /><Relationship Type="http://schemas.openxmlformats.org/officeDocument/2006/relationships/sharedStrings" Target="sharedStrings.xml" Id="rId5" /><Relationship Type="http://schemas.openxmlformats.org/officeDocument/2006/relationships/customXml" Target="../customXml/item4.xml" Id="rId10" /><Relationship Type="http://schemas.openxmlformats.org/officeDocument/2006/relationships/styles" Target="styles.xml" Id="rId4" /><Relationship Type="http://schemas.openxmlformats.org/officeDocument/2006/relationships/customXml" Target="../customXml/item3.xml" Id="rId9" /><Relationship Type="http://schemas.openxmlformats.org/officeDocument/2006/relationships/worksheet" Target="/xl/worksheets/sheet3.xml" Id="Rae427ae8549e4c36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018959056472316E-2"/>
          <c:y val="3.9320511629611386E-2"/>
          <c:w val="0.90227227791133402"/>
          <c:h val="0.924993203667548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Data!$C$5</c:f>
              <c:strCache>
                <c:ptCount val="1"/>
                <c:pt idx="0">
                  <c:v>Effective</c:v>
                </c:pt>
              </c:strCache>
            </c:strRef>
          </c:tx>
          <c:spPr>
            <a:solidFill>
              <a:srgbClr val="4F81BD"/>
            </a:solidFill>
            <a:ln w="6350" cmpd="sng">
              <a:solidFill>
                <a:srgbClr val="000000"/>
              </a:solidFill>
              <a:prstDash val="solid"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8DC-4FB0-B602-5DD70182402E}"/>
              </c:ext>
            </c:extLst>
          </c:dPt>
          <c:dPt>
            <c:idx val="13"/>
            <c:invertIfNegative val="0"/>
            <c:bubble3D val="0"/>
            <c:spPr>
              <a:solidFill>
                <a:srgbClr val="4F81BD"/>
              </a:solidFill>
              <a:ln w="6350" cmpd="sng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08DC-4FB0-B602-5DD70182402E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8DC-4FB0-B602-5DD70182402E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8DC-4FB0-B602-5DD70182402E}"/>
              </c:ext>
            </c:extLst>
          </c:dPt>
          <c:dPt>
            <c:idx val="17"/>
            <c:invertIfNegative val="0"/>
            <c:bubble3D val="0"/>
            <c:spPr>
              <a:solidFill>
                <a:srgbClr val="4F81BD"/>
              </a:solidFill>
              <a:ln w="6350" cmpd="sng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08DC-4FB0-B602-5DD70182402E}"/>
              </c:ext>
            </c:extLst>
          </c:dPt>
          <c:dPt>
            <c:idx val="18"/>
            <c:invertIfNegative val="0"/>
            <c:bubble3D val="0"/>
            <c:spPr>
              <a:solidFill>
                <a:srgbClr val="90CDD3"/>
              </a:solidFill>
              <a:ln w="6350" cmpd="sng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0274-4C1A-A77B-A858A59CEFB1}"/>
              </c:ext>
            </c:extLst>
          </c:dPt>
          <c:dPt>
            <c:idx val="20"/>
            <c:invertIfNegative val="0"/>
            <c:bubble3D val="0"/>
            <c:spPr>
              <a:solidFill>
                <a:srgbClr val="4F81BD"/>
              </a:solidFill>
              <a:ln w="6350" cmpd="sng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0381-4E3A-BC12-25F600AB1233}"/>
              </c:ext>
            </c:extLst>
          </c:dPt>
          <c:dPt>
            <c:idx val="25"/>
            <c:invertIfNegative val="0"/>
            <c:bubble3D val="0"/>
            <c:spPr>
              <a:solidFill>
                <a:srgbClr val="4F81BD"/>
              </a:solidFill>
              <a:ln w="6350" cmpd="sng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08DC-4FB0-B602-5DD70182402E}"/>
              </c:ext>
            </c:extLst>
          </c:dPt>
          <c:cat>
            <c:strRef>
              <c:f>Data!$A$6:$A$50</c:f>
              <c:strCache>
                <c:ptCount val="45"/>
                <c:pt idx="0">
                  <c:v>Chile</c:v>
                </c:pt>
                <c:pt idx="1">
                  <c:v>Iceland</c:v>
                </c:pt>
                <c:pt idx="2">
                  <c:v>Mexico</c:v>
                </c:pt>
                <c:pt idx="3">
                  <c:v>Israel</c:v>
                </c:pt>
                <c:pt idx="4">
                  <c:v>Colombia</c:v>
                </c:pt>
                <c:pt idx="5">
                  <c:v>Korea</c:v>
                </c:pt>
                <c:pt idx="6">
                  <c:v>United States</c:v>
                </c:pt>
                <c:pt idx="7">
                  <c:v>Japan</c:v>
                </c:pt>
                <c:pt idx="8">
                  <c:v>New Zealand</c:v>
                </c:pt>
                <c:pt idx="9">
                  <c:v>Estonia</c:v>
                </c:pt>
                <c:pt idx="10">
                  <c:v>Portugal</c:v>
                </c:pt>
                <c:pt idx="11">
                  <c:v>Denmark</c:v>
                </c:pt>
                <c:pt idx="12">
                  <c:v>Ireland</c:v>
                </c:pt>
                <c:pt idx="13">
                  <c:v>Canada</c:v>
                </c:pt>
                <c:pt idx="14">
                  <c:v>Sweden</c:v>
                </c:pt>
                <c:pt idx="15">
                  <c:v>Netherlands</c:v>
                </c:pt>
                <c:pt idx="16">
                  <c:v>Australia</c:v>
                </c:pt>
                <c:pt idx="17">
                  <c:v>Costa Rica</c:v>
                </c:pt>
                <c:pt idx="18">
                  <c:v>OECD</c:v>
                </c:pt>
                <c:pt idx="19">
                  <c:v>Switzerland</c:v>
                </c:pt>
                <c:pt idx="20">
                  <c:v>Germany</c:v>
                </c:pt>
                <c:pt idx="21">
                  <c:v>Czechia</c:v>
                </c:pt>
                <c:pt idx="22">
                  <c:v>Norway</c:v>
                </c:pt>
                <c:pt idx="23">
                  <c:v>Italy</c:v>
                </c:pt>
                <c:pt idx="24">
                  <c:v>United Kingdom</c:v>
                </c:pt>
                <c:pt idx="25">
                  <c:v>Poland</c:v>
                </c:pt>
                <c:pt idx="26">
                  <c:v>Greece</c:v>
                </c:pt>
                <c:pt idx="27">
                  <c:v>Hungary</c:v>
                </c:pt>
                <c:pt idx="28">
                  <c:v>Latvia</c:v>
                </c:pt>
                <c:pt idx="29">
                  <c:v>Finland</c:v>
                </c:pt>
                <c:pt idx="30">
                  <c:v>Lithuania</c:v>
                </c:pt>
                <c:pt idx="31">
                  <c:v>Austria</c:v>
                </c:pt>
                <c:pt idx="32">
                  <c:v>Slovak Republic</c:v>
                </c:pt>
                <c:pt idx="33">
                  <c:v>Belgium</c:v>
                </c:pt>
                <c:pt idx="34">
                  <c:v>Spain</c:v>
                </c:pt>
                <c:pt idx="35">
                  <c:v>France</c:v>
                </c:pt>
                <c:pt idx="36">
                  <c:v>Slovenia</c:v>
                </c:pt>
                <c:pt idx="37">
                  <c:v>Türkiye</c:v>
                </c:pt>
                <c:pt idx="38">
                  <c:v>Luxembourg</c:v>
                </c:pt>
                <c:pt idx="40">
                  <c:v>Argentina</c:v>
                </c:pt>
                <c:pt idx="41">
                  <c:v>India</c:v>
                </c:pt>
                <c:pt idx="42">
                  <c:v>Brazil</c:v>
                </c:pt>
                <c:pt idx="43">
                  <c:v>South Africa</c:v>
                </c:pt>
                <c:pt idx="44">
                  <c:v>EU27</c:v>
                </c:pt>
              </c:strCache>
            </c:strRef>
          </c:cat>
          <c:val>
            <c:numRef>
              <c:f>Data!$C$6:$C$50</c:f>
              <c:numCache>
                <c:formatCode>0.0</c:formatCode>
                <c:ptCount val="45"/>
                <c:pt idx="0">
                  <c:v>69.042972768152993</c:v>
                </c:pt>
                <c:pt idx="1">
                  <c:v>68.714373424853278</c:v>
                </c:pt>
                <c:pt idx="2">
                  <c:v>67.784205508633278</c:v>
                </c:pt>
                <c:pt idx="3">
                  <c:v>67.779409374013341</c:v>
                </c:pt>
                <c:pt idx="4">
                  <c:v>67.425475862652988</c:v>
                </c:pt>
                <c:pt idx="5">
                  <c:v>67.41492058724711</c:v>
                </c:pt>
                <c:pt idx="6">
                  <c:v>67.256444540464045</c:v>
                </c:pt>
                <c:pt idx="7">
                  <c:v>66.91953014035019</c:v>
                </c:pt>
                <c:pt idx="8">
                  <c:v>66.859045061249972</c:v>
                </c:pt>
                <c:pt idx="9">
                  <c:v>66.857203345364752</c:v>
                </c:pt>
                <c:pt idx="10">
                  <c:v>66.49745930172493</c:v>
                </c:pt>
                <c:pt idx="11">
                  <c:v>66.276823326462832</c:v>
                </c:pt>
                <c:pt idx="12">
                  <c:v>66.082294658277391</c:v>
                </c:pt>
                <c:pt idx="13">
                  <c:v>65.154770120740622</c:v>
                </c:pt>
                <c:pt idx="14">
                  <c:v>65.054448211517339</c:v>
                </c:pt>
                <c:pt idx="15">
                  <c:v>64.992236059255887</c:v>
                </c:pt>
                <c:pt idx="16">
                  <c:v>64.929127328237996</c:v>
                </c:pt>
                <c:pt idx="17">
                  <c:v>64.83951700747852</c:v>
                </c:pt>
                <c:pt idx="18">
                  <c:v>64.72909122524193</c:v>
                </c:pt>
                <c:pt idx="19">
                  <c:v>64.24552406760678</c:v>
                </c:pt>
                <c:pt idx="20">
                  <c:v>64.180905473248828</c:v>
                </c:pt>
                <c:pt idx="21">
                  <c:v>64.177829185081649</c:v>
                </c:pt>
                <c:pt idx="22">
                  <c:v>64.03840440454664</c:v>
                </c:pt>
                <c:pt idx="23">
                  <c:v>63.983086951108987</c:v>
                </c:pt>
                <c:pt idx="24">
                  <c:v>63.784490915388261</c:v>
                </c:pt>
                <c:pt idx="25">
                  <c:v>63.694825256283771</c:v>
                </c:pt>
                <c:pt idx="26">
                  <c:v>63.673955895888277</c:v>
                </c:pt>
                <c:pt idx="27">
                  <c:v>63.620244637704211</c:v>
                </c:pt>
                <c:pt idx="28">
                  <c:v>63.61542100944127</c:v>
                </c:pt>
                <c:pt idx="29">
                  <c:v>63.529188156961439</c:v>
                </c:pt>
                <c:pt idx="30">
                  <c:v>63.467044654069809</c:v>
                </c:pt>
                <c:pt idx="31">
                  <c:v>62.727647662061791</c:v>
                </c:pt>
                <c:pt idx="32">
                  <c:v>62.711230905865399</c:v>
                </c:pt>
                <c:pt idx="33">
                  <c:v>62.42916811934311</c:v>
                </c:pt>
                <c:pt idx="34">
                  <c:v>62.388615795906468</c:v>
                </c:pt>
                <c:pt idx="35">
                  <c:v>61.931332850791769</c:v>
                </c:pt>
                <c:pt idx="36">
                  <c:v>60.777738528023249</c:v>
                </c:pt>
                <c:pt idx="37">
                  <c:v>60.774258883981361</c:v>
                </c:pt>
                <c:pt idx="38">
                  <c:v>60.074296579212451</c:v>
                </c:pt>
                <c:pt idx="40">
                  <c:v>64.630505510139969</c:v>
                </c:pt>
                <c:pt idx="41">
                  <c:v>56.133140617772263</c:v>
                </c:pt>
                <c:pt idx="42">
                  <c:v>55.829861250758292</c:v>
                </c:pt>
                <c:pt idx="43">
                  <c:v>54.080346617949772</c:v>
                </c:pt>
                <c:pt idx="44">
                  <c:v>63.71744177421678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DC-4FB0-B602-5DD70182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4940416"/>
        <c:axId val="164948992"/>
      </c:barChart>
      <c:scatterChart>
        <c:scatterStyle val="lineMarker"/>
        <c:varyColors val="0"/>
        <c:ser>
          <c:idx val="1"/>
          <c:order val="1"/>
          <c:tx>
            <c:strRef>
              <c:f>Data!$D$5</c:f>
              <c:strCache>
                <c:ptCount val="1"/>
                <c:pt idx="0">
                  <c:v>Normal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bg1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xVal>
            <c:numRef>
              <c:f>Data!$D$6:$D$50</c:f>
              <c:numCache>
                <c:formatCode>0.0</c:formatCode>
                <c:ptCount val="45"/>
                <c:pt idx="0">
                  <c:v>65</c:v>
                </c:pt>
                <c:pt idx="1">
                  <c:v>67</c:v>
                </c:pt>
                <c:pt idx="2">
                  <c:v>65</c:v>
                </c:pt>
                <c:pt idx="3">
                  <c:v>67</c:v>
                </c:pt>
                <c:pt idx="4">
                  <c:v>62</c:v>
                </c:pt>
                <c:pt idx="5">
                  <c:v>63</c:v>
                </c:pt>
                <c:pt idx="6">
                  <c:v>66.666666666666671</c:v>
                </c:pt>
                <c:pt idx="7">
                  <c:v>65</c:v>
                </c:pt>
                <c:pt idx="8">
                  <c:v>65</c:v>
                </c:pt>
                <c:pt idx="9">
                  <c:v>64.75</c:v>
                </c:pt>
                <c:pt idx="10">
                  <c:v>65.333333333333329</c:v>
                </c:pt>
                <c:pt idx="11">
                  <c:v>67</c:v>
                </c:pt>
                <c:pt idx="12">
                  <c:v>66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67</c:v>
                </c:pt>
                <c:pt idx="17">
                  <c:v>65</c:v>
                </c:pt>
                <c:pt idx="18">
                  <c:v>64.651315789473671</c:v>
                </c:pt>
                <c:pt idx="19">
                  <c:v>65</c:v>
                </c:pt>
                <c:pt idx="20">
                  <c:v>66.166666666666671</c:v>
                </c:pt>
                <c:pt idx="21">
                  <c:v>64.166666666666671</c:v>
                </c:pt>
                <c:pt idx="22">
                  <c:v>67</c:v>
                </c:pt>
                <c:pt idx="23">
                  <c:v>64.833333333333329</c:v>
                </c:pt>
                <c:pt idx="24">
                  <c:v>66</c:v>
                </c:pt>
                <c:pt idx="25">
                  <c:v>65</c:v>
                </c:pt>
                <c:pt idx="26">
                  <c:v>62</c:v>
                </c:pt>
                <c:pt idx="27">
                  <c:v>65</c:v>
                </c:pt>
                <c:pt idx="28">
                  <c:v>64.75</c:v>
                </c:pt>
                <c:pt idx="29">
                  <c:v>65</c:v>
                </c:pt>
                <c:pt idx="30">
                  <c:v>64.666666666666671</c:v>
                </c:pt>
                <c:pt idx="31">
                  <c:v>65</c:v>
                </c:pt>
                <c:pt idx="32">
                  <c:v>63.166666666666664</c:v>
                </c:pt>
                <c:pt idx="33">
                  <c:v>65</c:v>
                </c:pt>
                <c:pt idx="34">
                  <c:v>65</c:v>
                </c:pt>
                <c:pt idx="35">
                  <c:v>64.25</c:v>
                </c:pt>
                <c:pt idx="36">
                  <c:v>62</c:v>
                </c:pt>
                <c:pt idx="37">
                  <c:v>52</c:v>
                </c:pt>
                <c:pt idx="38">
                  <c:v>62</c:v>
                </c:pt>
                <c:pt idx="40">
                  <c:v>65</c:v>
                </c:pt>
                <c:pt idx="41">
                  <c:v>58</c:v>
                </c:pt>
                <c:pt idx="42">
                  <c:v>65</c:v>
                </c:pt>
                <c:pt idx="43">
                  <c:v>60</c:v>
                </c:pt>
                <c:pt idx="44">
                  <c:v>64.728395061728392</c:v>
                </c:pt>
              </c:numCache>
            </c:numRef>
          </c:xVal>
          <c:yVal>
            <c:numRef>
              <c:f>Data!$K$6:$K$50</c:f>
              <c:numCache>
                <c:formatCode>0.0</c:formatCode>
                <c:ptCount val="45"/>
                <c:pt idx="0">
                  <c:v>30.6</c:v>
                </c:pt>
                <c:pt idx="1">
                  <c:v>29.913636363636364</c:v>
                </c:pt>
                <c:pt idx="2">
                  <c:v>29.227272727272727</c:v>
                </c:pt>
                <c:pt idx="3">
                  <c:v>28.540909090909089</c:v>
                </c:pt>
                <c:pt idx="4">
                  <c:v>27.854545454545452</c:v>
                </c:pt>
                <c:pt idx="5">
                  <c:v>27.168181818181814</c:v>
                </c:pt>
                <c:pt idx="6">
                  <c:v>26.481818181818177</c:v>
                </c:pt>
                <c:pt idx="7">
                  <c:v>25.79545454545454</c:v>
                </c:pt>
                <c:pt idx="8">
                  <c:v>25.109090909090902</c:v>
                </c:pt>
                <c:pt idx="9">
                  <c:v>24.422727272727265</c:v>
                </c:pt>
                <c:pt idx="10">
                  <c:v>23.736363636363627</c:v>
                </c:pt>
                <c:pt idx="11">
                  <c:v>23.04999999999999</c:v>
                </c:pt>
                <c:pt idx="12">
                  <c:v>22.363636363636353</c:v>
                </c:pt>
                <c:pt idx="13">
                  <c:v>21.677272727272715</c:v>
                </c:pt>
                <c:pt idx="14">
                  <c:v>20.990909090909078</c:v>
                </c:pt>
                <c:pt idx="15">
                  <c:v>20.30454545454544</c:v>
                </c:pt>
                <c:pt idx="16">
                  <c:v>19.618181818181803</c:v>
                </c:pt>
                <c:pt idx="17">
                  <c:v>18.931818181818166</c:v>
                </c:pt>
                <c:pt idx="18">
                  <c:v>18.245454545454528</c:v>
                </c:pt>
                <c:pt idx="19">
                  <c:v>17.559090909090891</c:v>
                </c:pt>
                <c:pt idx="20">
                  <c:v>16.872727272727253</c:v>
                </c:pt>
                <c:pt idx="21">
                  <c:v>16.186363636363616</c:v>
                </c:pt>
                <c:pt idx="22">
                  <c:v>15.49999999999998</c:v>
                </c:pt>
                <c:pt idx="23">
                  <c:v>14.813636363636345</c:v>
                </c:pt>
                <c:pt idx="24">
                  <c:v>14.127272727272709</c:v>
                </c:pt>
                <c:pt idx="25">
                  <c:v>13.440909090909074</c:v>
                </c:pt>
                <c:pt idx="26">
                  <c:v>12.754545454545438</c:v>
                </c:pt>
                <c:pt idx="27">
                  <c:v>12.068181818181802</c:v>
                </c:pt>
                <c:pt idx="28">
                  <c:v>11.381818181818167</c:v>
                </c:pt>
                <c:pt idx="29">
                  <c:v>10.695454545454531</c:v>
                </c:pt>
                <c:pt idx="30">
                  <c:v>10.009090909090895</c:v>
                </c:pt>
                <c:pt idx="31">
                  <c:v>9.3227272727272599</c:v>
                </c:pt>
                <c:pt idx="32">
                  <c:v>8.6363636363636243</c:v>
                </c:pt>
                <c:pt idx="33">
                  <c:v>7.9499999999999877</c:v>
                </c:pt>
                <c:pt idx="34">
                  <c:v>7.2636363636363512</c:v>
                </c:pt>
                <c:pt idx="35">
                  <c:v>6.5772727272727147</c:v>
                </c:pt>
                <c:pt idx="36">
                  <c:v>5.8909090909090782</c:v>
                </c:pt>
                <c:pt idx="37">
                  <c:v>5.2045454545454417</c:v>
                </c:pt>
                <c:pt idx="38">
                  <c:v>4.5181818181818052</c:v>
                </c:pt>
                <c:pt idx="39">
                  <c:v>3.8318181818181687</c:v>
                </c:pt>
                <c:pt idx="40">
                  <c:v>3.1454545454545322</c:v>
                </c:pt>
                <c:pt idx="41">
                  <c:v>2.4590909090908957</c:v>
                </c:pt>
                <c:pt idx="42">
                  <c:v>1.7727272727272592</c:v>
                </c:pt>
                <c:pt idx="43">
                  <c:v>1.0863636363636227</c:v>
                </c:pt>
                <c:pt idx="44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8DC-4FB0-B602-5DD70182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68736"/>
        <c:axId val="226136832"/>
      </c:scatterChart>
      <c:catAx>
        <c:axId val="164940416"/>
        <c:scaling>
          <c:orientation val="maxMin"/>
        </c:scaling>
        <c:delete val="0"/>
        <c:axPos val="r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one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crossAx val="164948992"/>
        <c:crosses val="autoZero"/>
        <c:auto val="1"/>
        <c:lblAlgn val="ctr"/>
        <c:lblOffset val="100"/>
        <c:tickMarkSkip val="1"/>
        <c:noMultiLvlLbl val="0"/>
      </c:catAx>
      <c:valAx>
        <c:axId val="164948992"/>
        <c:scaling>
          <c:orientation val="maxMin"/>
          <c:max val="75"/>
          <c:min val="45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64940416"/>
        <c:crosses val="max"/>
        <c:crossBetween val="between"/>
        <c:majorUnit val="5"/>
        <c:minorUnit val="1"/>
      </c:valAx>
      <c:valAx>
        <c:axId val="165668736"/>
        <c:scaling>
          <c:orientation val="maxMin"/>
          <c:max val="74"/>
          <c:min val="55"/>
        </c:scaling>
        <c:delete val="1"/>
        <c:axPos val="b"/>
        <c:numFmt formatCode="0.0" sourceLinked="1"/>
        <c:majorTickMark val="out"/>
        <c:minorTickMark val="none"/>
        <c:tickLblPos val="nextTo"/>
        <c:crossAx val="226136832"/>
        <c:crossesAt val="31"/>
        <c:crossBetween val="midCat"/>
        <c:majorUnit val="3"/>
        <c:minorUnit val="1"/>
      </c:valAx>
      <c:valAx>
        <c:axId val="226136832"/>
        <c:scaling>
          <c:orientation val="minMax"/>
          <c:max val="31"/>
          <c:min val="0"/>
        </c:scaling>
        <c:delete val="1"/>
        <c:axPos val="r"/>
        <c:numFmt formatCode="0.0" sourceLinked="1"/>
        <c:majorTickMark val="in"/>
        <c:minorTickMark val="none"/>
        <c:tickLblPos val="none"/>
        <c:crossAx val="165668736"/>
        <c:crosses val="autoZero"/>
        <c:crossBetween val="midCat"/>
      </c:valAx>
      <c:spPr>
        <a:solidFill>
          <a:srgbClr val="EAEAEA"/>
        </a:solidFill>
        <a:ln w="9525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4.8154414428842461E-2"/>
          <c:y val="7.5185302450432537E-3"/>
          <c:w val="0.89606931540061219"/>
          <c:h val="2.2838588368182752E-2"/>
        </c:manualLayout>
      </c:layout>
      <c:overlay val="1"/>
      <c:spPr>
        <a:solidFill>
          <a:srgbClr val="EAEAEA"/>
        </a:solidFill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22" r="0.750000000000001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8.6204731485836975E-3"/>
          <c:y val="5.014347464077458E-2"/>
          <c:w val="0.98706929027712442"/>
          <c:h val="0.944217604550986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Data!$F$5</c:f>
              <c:strCache>
                <c:ptCount val="1"/>
                <c:pt idx="0">
                  <c:v>Effective</c:v>
                </c:pt>
              </c:strCache>
            </c:strRef>
          </c:tx>
          <c:spPr>
            <a:solidFill>
              <a:srgbClr val="4F81BD"/>
            </a:solidFill>
            <a:ln w="6350" cmpd="sng">
              <a:solidFill>
                <a:srgbClr val="000000"/>
              </a:solidFill>
              <a:prstDash val="solid"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D3B-4F8D-85D2-1E59FD0A501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D3B-4F8D-85D2-1E59FD0A501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D3B-4F8D-85D2-1E59FD0A501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D3B-4F8D-85D2-1E59FD0A5015}"/>
              </c:ext>
            </c:extLst>
          </c:dPt>
          <c:dPt>
            <c:idx val="17"/>
            <c:invertIfNegative val="0"/>
            <c:bubble3D val="0"/>
            <c:spPr>
              <a:solidFill>
                <a:srgbClr val="4F81BD"/>
              </a:solidFill>
              <a:ln w="6350" cmpd="sng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3B-4F8D-85D2-1E59FD0A5015}"/>
              </c:ext>
            </c:extLst>
          </c:dPt>
          <c:dPt>
            <c:idx val="18"/>
            <c:invertIfNegative val="0"/>
            <c:bubble3D val="0"/>
            <c:spPr>
              <a:solidFill>
                <a:srgbClr val="90CDD3"/>
              </a:solidFill>
              <a:ln w="6350" cmpd="sng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9C54-4E3B-B99F-A5BE5437F00C}"/>
              </c:ext>
            </c:extLst>
          </c:dPt>
          <c:dPt>
            <c:idx val="20"/>
            <c:invertIfNegative val="0"/>
            <c:bubble3D val="0"/>
            <c:spPr>
              <a:solidFill>
                <a:srgbClr val="4F81BD"/>
              </a:solidFill>
              <a:ln w="6350" cmpd="sng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D595-4436-AEB6-DDEB66050715}"/>
              </c:ext>
            </c:extLst>
          </c:dPt>
          <c:dPt>
            <c:idx val="25"/>
            <c:invertIfNegative val="0"/>
            <c:bubble3D val="0"/>
            <c:spPr>
              <a:solidFill>
                <a:srgbClr val="4F81BD"/>
              </a:solidFill>
              <a:ln w="6350" cmpd="sng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D3B-4F8D-85D2-1E59FD0A5015}"/>
              </c:ext>
            </c:extLst>
          </c:dPt>
          <c:cat>
            <c:strRef>
              <c:f>Data!$A$6:$A$50</c:f>
              <c:strCache>
                <c:ptCount val="45"/>
                <c:pt idx="0">
                  <c:v>Chile</c:v>
                </c:pt>
                <c:pt idx="1">
                  <c:v>Iceland</c:v>
                </c:pt>
                <c:pt idx="2">
                  <c:v>Mexico</c:v>
                </c:pt>
                <c:pt idx="3">
                  <c:v>Israel</c:v>
                </c:pt>
                <c:pt idx="4">
                  <c:v>Colombia</c:v>
                </c:pt>
                <c:pt idx="5">
                  <c:v>Korea</c:v>
                </c:pt>
                <c:pt idx="6">
                  <c:v>United States</c:v>
                </c:pt>
                <c:pt idx="7">
                  <c:v>Japan</c:v>
                </c:pt>
                <c:pt idx="8">
                  <c:v>New Zealand</c:v>
                </c:pt>
                <c:pt idx="9">
                  <c:v>Estonia</c:v>
                </c:pt>
                <c:pt idx="10">
                  <c:v>Portugal</c:v>
                </c:pt>
                <c:pt idx="11">
                  <c:v>Denmark</c:v>
                </c:pt>
                <c:pt idx="12">
                  <c:v>Ireland</c:v>
                </c:pt>
                <c:pt idx="13">
                  <c:v>Canada</c:v>
                </c:pt>
                <c:pt idx="14">
                  <c:v>Sweden</c:v>
                </c:pt>
                <c:pt idx="15">
                  <c:v>Netherlands</c:v>
                </c:pt>
                <c:pt idx="16">
                  <c:v>Australia</c:v>
                </c:pt>
                <c:pt idx="17">
                  <c:v>Costa Rica</c:v>
                </c:pt>
                <c:pt idx="18">
                  <c:v>OECD</c:v>
                </c:pt>
                <c:pt idx="19">
                  <c:v>Switzerland</c:v>
                </c:pt>
                <c:pt idx="20">
                  <c:v>Germany</c:v>
                </c:pt>
                <c:pt idx="21">
                  <c:v>Czechia</c:v>
                </c:pt>
                <c:pt idx="22">
                  <c:v>Norway</c:v>
                </c:pt>
                <c:pt idx="23">
                  <c:v>Italy</c:v>
                </c:pt>
                <c:pt idx="24">
                  <c:v>United Kingdom</c:v>
                </c:pt>
                <c:pt idx="25">
                  <c:v>Poland</c:v>
                </c:pt>
                <c:pt idx="26">
                  <c:v>Greece</c:v>
                </c:pt>
                <c:pt idx="27">
                  <c:v>Hungary</c:v>
                </c:pt>
                <c:pt idx="28">
                  <c:v>Latvia</c:v>
                </c:pt>
                <c:pt idx="29">
                  <c:v>Finland</c:v>
                </c:pt>
                <c:pt idx="30">
                  <c:v>Lithuania</c:v>
                </c:pt>
                <c:pt idx="31">
                  <c:v>Austria</c:v>
                </c:pt>
                <c:pt idx="32">
                  <c:v>Slovak Republic</c:v>
                </c:pt>
                <c:pt idx="33">
                  <c:v>Belgium</c:v>
                </c:pt>
                <c:pt idx="34">
                  <c:v>Spain</c:v>
                </c:pt>
                <c:pt idx="35">
                  <c:v>France</c:v>
                </c:pt>
                <c:pt idx="36">
                  <c:v>Slovenia</c:v>
                </c:pt>
                <c:pt idx="37">
                  <c:v>Türkiye</c:v>
                </c:pt>
                <c:pt idx="38">
                  <c:v>Luxembourg</c:v>
                </c:pt>
                <c:pt idx="40">
                  <c:v>Argentina</c:v>
                </c:pt>
                <c:pt idx="41">
                  <c:v>India</c:v>
                </c:pt>
                <c:pt idx="42">
                  <c:v>Brazil</c:v>
                </c:pt>
                <c:pt idx="43">
                  <c:v>South Africa</c:v>
                </c:pt>
                <c:pt idx="44">
                  <c:v>EU27</c:v>
                </c:pt>
              </c:strCache>
            </c:strRef>
          </c:cat>
          <c:val>
            <c:numRef>
              <c:f>Data!$F$6:$F$50</c:f>
              <c:numCache>
                <c:formatCode>0.0</c:formatCode>
                <c:ptCount val="45"/>
                <c:pt idx="0">
                  <c:v>66.153135560196915</c:v>
                </c:pt>
                <c:pt idx="1">
                  <c:v>65.933580602705291</c:v>
                </c:pt>
                <c:pt idx="2">
                  <c:v>65.684496595019795</c:v>
                </c:pt>
                <c:pt idx="3">
                  <c:v>65.687496541876683</c:v>
                </c:pt>
                <c:pt idx="4">
                  <c:v>61.174156177408065</c:v>
                </c:pt>
                <c:pt idx="5">
                  <c:v>69.576137020245127</c:v>
                </c:pt>
                <c:pt idx="6">
                  <c:v>66.702770722518608</c:v>
                </c:pt>
                <c:pt idx="7">
                  <c:v>67.35748271173685</c:v>
                </c:pt>
                <c:pt idx="8">
                  <c:v>66.852415778329927</c:v>
                </c:pt>
                <c:pt idx="9">
                  <c:v>67.269167125555882</c:v>
                </c:pt>
                <c:pt idx="10">
                  <c:v>64.472406099272447</c:v>
                </c:pt>
                <c:pt idx="11">
                  <c:v>63.535371215988398</c:v>
                </c:pt>
                <c:pt idx="12">
                  <c:v>66.007905420341231</c:v>
                </c:pt>
                <c:pt idx="13">
                  <c:v>63.152669647917357</c:v>
                </c:pt>
                <c:pt idx="14">
                  <c:v>64.975889515106985</c:v>
                </c:pt>
                <c:pt idx="15">
                  <c:v>64.700134514228367</c:v>
                </c:pt>
                <c:pt idx="16">
                  <c:v>64.417166324724789</c:v>
                </c:pt>
                <c:pt idx="17">
                  <c:v>59.796179100645169</c:v>
                </c:pt>
                <c:pt idx="18">
                  <c:v>63.623179956548462</c:v>
                </c:pt>
                <c:pt idx="19">
                  <c:v>64.477074389243995</c:v>
                </c:pt>
                <c:pt idx="20">
                  <c:v>63.910254601688514</c:v>
                </c:pt>
                <c:pt idx="21">
                  <c:v>63.0481303102382</c:v>
                </c:pt>
                <c:pt idx="22">
                  <c:v>63.436019109206427</c:v>
                </c:pt>
                <c:pt idx="23">
                  <c:v>62.5845201881869</c:v>
                </c:pt>
                <c:pt idx="24">
                  <c:v>63.09940931652276</c:v>
                </c:pt>
                <c:pt idx="25">
                  <c:v>61.379986519042617</c:v>
                </c:pt>
                <c:pt idx="26">
                  <c:v>61.873342107176413</c:v>
                </c:pt>
                <c:pt idx="27">
                  <c:v>61.960217117749515</c:v>
                </c:pt>
                <c:pt idx="28">
                  <c:v>63.400053940463124</c:v>
                </c:pt>
                <c:pt idx="29">
                  <c:v>62.870562966140447</c:v>
                </c:pt>
                <c:pt idx="30">
                  <c:v>63.545236558459479</c:v>
                </c:pt>
                <c:pt idx="31">
                  <c:v>61.179216283662072</c:v>
                </c:pt>
                <c:pt idx="32">
                  <c:v>61.22184201522488</c:v>
                </c:pt>
                <c:pt idx="33">
                  <c:v>60.595909671285796</c:v>
                </c:pt>
                <c:pt idx="34">
                  <c:v>63.007021109367898</c:v>
                </c:pt>
                <c:pt idx="35">
                  <c:v>62.422629722064059</c:v>
                </c:pt>
                <c:pt idx="36">
                  <c:v>59.498068740688325</c:v>
                </c:pt>
                <c:pt idx="37">
                  <c:v>60.467834134806587</c:v>
                </c:pt>
                <c:pt idx="38">
                  <c:v>60.254948873805006</c:v>
                </c:pt>
                <c:pt idx="40">
                  <c:v>63.756823980041126</c:v>
                </c:pt>
                <c:pt idx="41">
                  <c:v>54.758860407747683</c:v>
                </c:pt>
                <c:pt idx="42">
                  <c:v>53.890886054463202</c:v>
                </c:pt>
                <c:pt idx="43">
                  <c:v>52.972269669868673</c:v>
                </c:pt>
                <c:pt idx="44">
                  <c:v>62.816637115300423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3B-4F8D-85D2-1E59FD0A5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0337920"/>
        <c:axId val="114430336"/>
      </c:barChart>
      <c:scatterChart>
        <c:scatterStyle val="lineMarker"/>
        <c:varyColors val="0"/>
        <c:ser>
          <c:idx val="1"/>
          <c:order val="1"/>
          <c:tx>
            <c:strRef>
              <c:f>Data!$G$5</c:f>
              <c:strCache>
                <c:ptCount val="1"/>
                <c:pt idx="0">
                  <c:v>Normal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bg1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xVal>
            <c:numRef>
              <c:f>Data!$G$6:$G$50</c:f>
              <c:numCache>
                <c:formatCode>0.0</c:formatCode>
                <c:ptCount val="45"/>
                <c:pt idx="0">
                  <c:v>65</c:v>
                </c:pt>
                <c:pt idx="1">
                  <c:v>67</c:v>
                </c:pt>
                <c:pt idx="2">
                  <c:v>65</c:v>
                </c:pt>
                <c:pt idx="3">
                  <c:v>62</c:v>
                </c:pt>
                <c:pt idx="4">
                  <c:v>57</c:v>
                </c:pt>
                <c:pt idx="5">
                  <c:v>63</c:v>
                </c:pt>
                <c:pt idx="6">
                  <c:v>66.666666666666671</c:v>
                </c:pt>
                <c:pt idx="7">
                  <c:v>65</c:v>
                </c:pt>
                <c:pt idx="8">
                  <c:v>65</c:v>
                </c:pt>
                <c:pt idx="9">
                  <c:v>64.75</c:v>
                </c:pt>
                <c:pt idx="10">
                  <c:v>65.333333333333329</c:v>
                </c:pt>
                <c:pt idx="11">
                  <c:v>67</c:v>
                </c:pt>
                <c:pt idx="12">
                  <c:v>66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67</c:v>
                </c:pt>
                <c:pt idx="17">
                  <c:v>63</c:v>
                </c:pt>
                <c:pt idx="18">
                  <c:v>63.866228070175431</c:v>
                </c:pt>
                <c:pt idx="19">
                  <c:v>64</c:v>
                </c:pt>
                <c:pt idx="20">
                  <c:v>66.166666666666671</c:v>
                </c:pt>
                <c:pt idx="21">
                  <c:v>64.166666666666671</c:v>
                </c:pt>
                <c:pt idx="22">
                  <c:v>67</c:v>
                </c:pt>
                <c:pt idx="23">
                  <c:v>63.833333333333336</c:v>
                </c:pt>
                <c:pt idx="24">
                  <c:v>66</c:v>
                </c:pt>
                <c:pt idx="25">
                  <c:v>60</c:v>
                </c:pt>
                <c:pt idx="26">
                  <c:v>62</c:v>
                </c:pt>
                <c:pt idx="27">
                  <c:v>62</c:v>
                </c:pt>
                <c:pt idx="28">
                  <c:v>64.75</c:v>
                </c:pt>
                <c:pt idx="29">
                  <c:v>65</c:v>
                </c:pt>
                <c:pt idx="30">
                  <c:v>64.333333333333329</c:v>
                </c:pt>
                <c:pt idx="31">
                  <c:v>60.5</c:v>
                </c:pt>
                <c:pt idx="32">
                  <c:v>63.166666666666664</c:v>
                </c:pt>
                <c:pt idx="33">
                  <c:v>65</c:v>
                </c:pt>
                <c:pt idx="34">
                  <c:v>65</c:v>
                </c:pt>
                <c:pt idx="35">
                  <c:v>64.25</c:v>
                </c:pt>
                <c:pt idx="36">
                  <c:v>62</c:v>
                </c:pt>
                <c:pt idx="37">
                  <c:v>49</c:v>
                </c:pt>
                <c:pt idx="38">
                  <c:v>62</c:v>
                </c:pt>
                <c:pt idx="40">
                  <c:v>60</c:v>
                </c:pt>
                <c:pt idx="41">
                  <c:v>58</c:v>
                </c:pt>
                <c:pt idx="42">
                  <c:v>62</c:v>
                </c:pt>
                <c:pt idx="43">
                  <c:v>60</c:v>
                </c:pt>
                <c:pt idx="44">
                  <c:v>63.966049382716058</c:v>
                </c:pt>
              </c:numCache>
            </c:numRef>
          </c:xVal>
          <c:yVal>
            <c:numRef>
              <c:f>Data!$K$6:$K$50</c:f>
              <c:numCache>
                <c:formatCode>0.0</c:formatCode>
                <c:ptCount val="45"/>
                <c:pt idx="0">
                  <c:v>30.6</c:v>
                </c:pt>
                <c:pt idx="1">
                  <c:v>29.913636363636364</c:v>
                </c:pt>
                <c:pt idx="2">
                  <c:v>29.227272727272727</c:v>
                </c:pt>
                <c:pt idx="3">
                  <c:v>28.540909090909089</c:v>
                </c:pt>
                <c:pt idx="4">
                  <c:v>27.854545454545452</c:v>
                </c:pt>
                <c:pt idx="5">
                  <c:v>27.168181818181814</c:v>
                </c:pt>
                <c:pt idx="6">
                  <c:v>26.481818181818177</c:v>
                </c:pt>
                <c:pt idx="7">
                  <c:v>25.79545454545454</c:v>
                </c:pt>
                <c:pt idx="8">
                  <c:v>25.109090909090902</c:v>
                </c:pt>
                <c:pt idx="9">
                  <c:v>24.422727272727265</c:v>
                </c:pt>
                <c:pt idx="10">
                  <c:v>23.736363636363627</c:v>
                </c:pt>
                <c:pt idx="11">
                  <c:v>23.04999999999999</c:v>
                </c:pt>
                <c:pt idx="12">
                  <c:v>22.363636363636353</c:v>
                </c:pt>
                <c:pt idx="13">
                  <c:v>21.677272727272715</c:v>
                </c:pt>
                <c:pt idx="14">
                  <c:v>20.990909090909078</c:v>
                </c:pt>
                <c:pt idx="15">
                  <c:v>20.30454545454544</c:v>
                </c:pt>
                <c:pt idx="16">
                  <c:v>19.618181818181803</c:v>
                </c:pt>
                <c:pt idx="17">
                  <c:v>18.931818181818166</c:v>
                </c:pt>
                <c:pt idx="18">
                  <c:v>18.245454545454528</c:v>
                </c:pt>
                <c:pt idx="19">
                  <c:v>17.559090909090891</c:v>
                </c:pt>
                <c:pt idx="20">
                  <c:v>16.872727272727253</c:v>
                </c:pt>
                <c:pt idx="21">
                  <c:v>16.186363636363616</c:v>
                </c:pt>
                <c:pt idx="22">
                  <c:v>15.49999999999998</c:v>
                </c:pt>
                <c:pt idx="23">
                  <c:v>14.813636363636345</c:v>
                </c:pt>
                <c:pt idx="24">
                  <c:v>14.127272727272709</c:v>
                </c:pt>
                <c:pt idx="25">
                  <c:v>13.440909090909074</c:v>
                </c:pt>
                <c:pt idx="26">
                  <c:v>12.754545454545438</c:v>
                </c:pt>
                <c:pt idx="27">
                  <c:v>12.068181818181802</c:v>
                </c:pt>
                <c:pt idx="28">
                  <c:v>11.381818181818167</c:v>
                </c:pt>
                <c:pt idx="29">
                  <c:v>10.695454545454531</c:v>
                </c:pt>
                <c:pt idx="30">
                  <c:v>10.009090909090895</c:v>
                </c:pt>
                <c:pt idx="31">
                  <c:v>9.3227272727272599</c:v>
                </c:pt>
                <c:pt idx="32">
                  <c:v>8.6363636363636243</c:v>
                </c:pt>
                <c:pt idx="33">
                  <c:v>7.9499999999999877</c:v>
                </c:pt>
                <c:pt idx="34">
                  <c:v>7.2636363636363512</c:v>
                </c:pt>
                <c:pt idx="35">
                  <c:v>6.5772727272727147</c:v>
                </c:pt>
                <c:pt idx="36">
                  <c:v>5.8909090909090782</c:v>
                </c:pt>
                <c:pt idx="37">
                  <c:v>5.2045454545454417</c:v>
                </c:pt>
                <c:pt idx="38">
                  <c:v>4.5181818181818052</c:v>
                </c:pt>
                <c:pt idx="39">
                  <c:v>3.8318181818181687</c:v>
                </c:pt>
                <c:pt idx="40">
                  <c:v>3.1454545454545322</c:v>
                </c:pt>
                <c:pt idx="41">
                  <c:v>2.4590909090908957</c:v>
                </c:pt>
                <c:pt idx="42">
                  <c:v>1.7727272727272592</c:v>
                </c:pt>
                <c:pt idx="43">
                  <c:v>1.0863636363636227</c:v>
                </c:pt>
                <c:pt idx="44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D3B-4F8D-85D2-1E59FD0A5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32640"/>
        <c:axId val="114987776"/>
      </c:scatterChart>
      <c:catAx>
        <c:axId val="100337920"/>
        <c:scaling>
          <c:orientation val="maxMin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one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crossAx val="114430336"/>
        <c:crosses val="autoZero"/>
        <c:auto val="1"/>
        <c:lblAlgn val="ctr"/>
        <c:lblOffset val="100"/>
        <c:tickMarkSkip val="1"/>
        <c:noMultiLvlLbl val="0"/>
      </c:catAx>
      <c:valAx>
        <c:axId val="114430336"/>
        <c:scaling>
          <c:orientation val="minMax"/>
          <c:max val="75"/>
          <c:min val="45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0337920"/>
        <c:crosses val="max"/>
        <c:crossBetween val="between"/>
        <c:majorUnit val="5"/>
        <c:minorUnit val="1"/>
      </c:valAx>
      <c:valAx>
        <c:axId val="11443264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14987776"/>
        <c:crossesAt val="31"/>
        <c:crossBetween val="midCat"/>
      </c:valAx>
      <c:valAx>
        <c:axId val="114987776"/>
        <c:scaling>
          <c:orientation val="minMax"/>
          <c:max val="31"/>
          <c:min val="0"/>
        </c:scaling>
        <c:delete val="1"/>
        <c:axPos val="l"/>
        <c:numFmt formatCode="0.0" sourceLinked="1"/>
        <c:majorTickMark val="in"/>
        <c:minorTickMark val="none"/>
        <c:tickLblPos val="none"/>
        <c:crossAx val="114432640"/>
        <c:crosses val="autoZero"/>
        <c:crossBetween val="midCat"/>
      </c:valAx>
      <c:spPr>
        <a:solidFill>
          <a:srgbClr val="EAEAEA"/>
        </a:solidFill>
        <a:ln w="9525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4.8074149395652757E-2"/>
          <c:y val="1.8341571665392974E-2"/>
          <c:w val="0.89857431161744494"/>
          <c:h val="2.2783048544338817E-2"/>
        </c:manualLayout>
      </c:layout>
      <c:overlay val="1"/>
      <c:spPr>
        <a:solidFill>
          <a:srgbClr val="EAEAEA"/>
        </a:solidFill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>
      <a:noFill/>
    </a:ln>
  </c:spPr>
  <c:txPr>
    <a:bodyPr/>
    <a:lstStyle/>
    <a:p>
      <a:pPr>
        <a:defRPr sz="6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22" r="0.75000000000000122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42335</xdr:rowOff>
    </xdr:from>
    <xdr:to>
      <xdr:col>5</xdr:col>
      <xdr:colOff>9072</xdr:colOff>
      <xdr:row>52</xdr:row>
      <xdr:rowOff>5294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274479</xdr:colOff>
      <xdr:row>2</xdr:row>
      <xdr:rowOff>121709</xdr:rowOff>
    </xdr:from>
    <xdr:to>
      <xdr:col>13</xdr:col>
      <xdr:colOff>5292</xdr:colOff>
      <xdr:row>52</xdr:row>
      <xdr:rowOff>5293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18" Type="http://schemas.openxmlformats.org/officeDocument/2006/relationships/customProperty" Target="../customProperty17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17" Type="http://schemas.openxmlformats.org/officeDocument/2006/relationships/customProperty" Target="../customProperty16.bin"/><Relationship Id="rId2" Type="http://schemas.openxmlformats.org/officeDocument/2006/relationships/customProperty" Target="../customProperty1.bin"/><Relationship Id="rId16" Type="http://schemas.openxmlformats.org/officeDocument/2006/relationships/customProperty" Target="../customProperty15.bin"/><Relationship Id="rId20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10" Type="http://schemas.openxmlformats.org/officeDocument/2006/relationships/customProperty" Target="../customProperty9.bin"/><Relationship Id="rId19" Type="http://schemas.openxmlformats.org/officeDocument/2006/relationships/customProperty" Target="../customProperty18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5.bin"/><Relationship Id="rId13" Type="http://schemas.openxmlformats.org/officeDocument/2006/relationships/customProperty" Target="../customProperty30.bin"/><Relationship Id="rId3" Type="http://schemas.openxmlformats.org/officeDocument/2006/relationships/customProperty" Target="../customProperty20.bin"/><Relationship Id="rId7" Type="http://schemas.openxmlformats.org/officeDocument/2006/relationships/customProperty" Target="../customProperty24.bin"/><Relationship Id="rId12" Type="http://schemas.openxmlformats.org/officeDocument/2006/relationships/customProperty" Target="../customProperty29.bin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2.bin"/><Relationship Id="rId6" Type="http://schemas.openxmlformats.org/officeDocument/2006/relationships/customProperty" Target="../customProperty23.bin"/><Relationship Id="rId11" Type="http://schemas.openxmlformats.org/officeDocument/2006/relationships/customProperty" Target="../customProperty28.bin"/><Relationship Id="rId5" Type="http://schemas.openxmlformats.org/officeDocument/2006/relationships/customProperty" Target="../customProperty22.bin"/><Relationship Id="rId10" Type="http://schemas.openxmlformats.org/officeDocument/2006/relationships/customProperty" Target="../customProperty27.bin"/><Relationship Id="rId4" Type="http://schemas.openxmlformats.org/officeDocument/2006/relationships/customProperty" Target="../customProperty21.bin"/><Relationship Id="rId9" Type="http://schemas.openxmlformats.org/officeDocument/2006/relationships/customProperty" Target="../customProperty26.bin"/><Relationship Id="rId14" Type="http://schemas.openxmlformats.org/officeDocument/2006/relationships/customProperty" Target="../customProperty31.bin"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oi.org/10.1787/e40274c1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yj83ds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N85"/>
  <x:sheetViews>
    <x:sheetView tabSelected="1" topLeftCell="A1" zoomScale="120" zoomScaleNormal="120" workbookViewId="0"/>
  </x:sheetViews>
  <x:sheetFormatPr defaultColWidth="9.1796875" defaultRowHeight="13" x14ac:dyDescent="0.3"/>
  <x:cols>
    <x:col min="1" max="5" width="7.26953125" style="1" customWidth="1"/>
    <x:col min="6" max="6" width="4.90625" style="1" customWidth="1"/>
    <x:col min="7" max="7" width="8.7265625" style="39" customWidth="1"/>
    <x:col min="8" max="8" width="4.1796875" style="39" customWidth="1"/>
    <x:col min="9" max="13" width="7.26953125" style="1" customWidth="1"/>
    <x:col min="14" max="14" width="1.453125" style="1" customWidth="1"/>
    <x:col min="15" max="16384" width="9.1796875" style="1"/>
  </x:cols>
  <x:sheetData>
    <x:row r="1" spans="1:14" ht="14" x14ac:dyDescent="0.3">
      <x:c r="A1" s="26" t="s">
        <x:v>60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spans="1:14" ht="14" x14ac:dyDescent="0.3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3" spans="1:14" ht="10" customHeight="1" x14ac:dyDescent="0.3">
      <x:c r="A3" s="55" t="s">
        <x:v>43</x:v>
      </x:c>
      <x:c r="B3" s="55"/>
      <x:c r="C3" s="55"/>
      <x:c r="D3" s="55"/>
      <x:c r="E3" s="55"/>
      <x:c r="F3" s="40"/>
      <x:c r="G3" s="40"/>
      <x:c r="H3" s="40"/>
      <x:c r="I3" s="55" t="s">
        <x:v>44</x:v>
      </x:c>
      <x:c r="J3" s="55"/>
      <x:c r="K3" s="55"/>
      <x:c r="L3" s="55"/>
      <x:c r="M3" s="55"/>
      <x:c r="N3" s="17"/>
    </x:row>
    <x:row r="4" spans="1:14" ht="5.5" customHeight="1" x14ac:dyDescent="0.3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17"/>
      <x:c r="L4" s="17"/>
      <x:c r="M4" s="17"/>
      <x:c r="N4" s="17"/>
    </x:row>
    <x:row r="5" spans="1:14" x14ac:dyDescent="0.3">
      <x:c r="A5" s="25"/>
      <x:c r="B5" s="25"/>
      <x:c r="C5" s="25"/>
      <x:c r="D5" s="25"/>
      <x:c r="E5" s="25"/>
      <x:c r="F5" s="42"/>
      <x:c r="G5" s="42"/>
      <x:c r="H5" s="42"/>
      <x:c r="I5" s="25"/>
      <x:c r="J5" s="25"/>
      <x:c r="K5" s="25"/>
      <x:c r="L5" s="25"/>
      <x:c r="M5" s="25"/>
      <x:c r="N5" s="25"/>
    </x:row>
    <x:row r="6" spans="1:14" ht="7.5" customHeight="1" x14ac:dyDescent="0.3">
      <x:c r="A6" s="43"/>
      <x:c r="B6" s="43"/>
      <x:c r="C6" s="43"/>
      <x:c r="D6" s="43"/>
      <x:c r="E6" s="25"/>
      <x:c r="F6" s="44" t="str">
        <x:f>CONCATENATE("(",TEXT(Data!C6,"0.0"),")")</x:f>
        <x:v>(69.0)</x:v>
      </x:c>
      <x:c r="G6" s="45" t="str">
        <x:f>Data!A6</x:f>
        <x:v>Chile</x:v>
      </x:c>
      <x:c r="H6" s="46" t="str">
        <x:f>CONCATENATE("(",TEXT(Data!F6,"0.0"),")")</x:f>
        <x:v>(66.2)</x:v>
      </x:c>
      <x:c r="I6" s="43"/>
      <x:c r="J6" s="43"/>
      <x:c r="K6" s="25"/>
      <x:c r="L6" s="25"/>
      <x:c r="M6" s="25"/>
      <x:c r="N6" s="25"/>
    </x:row>
    <x:row r="7" spans="1:14" ht="7.5" customHeight="1" x14ac:dyDescent="0.3">
      <x:c r="A7" s="43"/>
      <x:c r="B7" s="43"/>
      <x:c r="C7" s="43"/>
      <x:c r="D7" s="43"/>
      <x:c r="E7" s="25"/>
      <x:c r="F7" s="44" t="str">
        <x:f>CONCATENATE("(",TEXT(Data!C7,"0.0"),")")</x:f>
        <x:v>(68.7)</x:v>
      </x:c>
      <x:c r="G7" s="45" t="str">
        <x:f>Data!A7</x:f>
        <x:v>Iceland</x:v>
      </x:c>
      <x:c r="H7" s="46" t="str">
        <x:f>CONCATENATE("(",TEXT(Data!F7,"0.0"),")")</x:f>
        <x:v>(65.9)</x:v>
      </x:c>
      <x:c r="I7" s="43"/>
      <x:c r="J7" s="43"/>
      <x:c r="K7" s="25"/>
      <x:c r="L7" s="25"/>
      <x:c r="M7" s="25"/>
      <x:c r="N7" s="25"/>
    </x:row>
    <x:row r="8" spans="1:14" ht="7.5" customHeight="1" x14ac:dyDescent="0.3">
      <x:c r="A8" s="43"/>
      <x:c r="B8" s="43"/>
      <x:c r="C8" s="43"/>
      <x:c r="D8" s="43"/>
      <x:c r="E8" s="25"/>
      <x:c r="F8" s="44" t="str">
        <x:f>CONCATENATE("(",TEXT(Data!C8,"0.0"),")")</x:f>
        <x:v>(67.8)</x:v>
      </x:c>
      <x:c r="G8" s="45" t="str">
        <x:f>Data!A8</x:f>
        <x:v>Mexico</x:v>
      </x:c>
      <x:c r="H8" s="46" t="str">
        <x:f>CONCATENATE("(",TEXT(Data!F8,"0.0"),")")</x:f>
        <x:v>(65.7)</x:v>
      </x:c>
      <x:c r="I8" s="43"/>
      <x:c r="J8" s="43"/>
      <x:c r="K8" s="25"/>
      <x:c r="L8" s="25"/>
      <x:c r="M8" s="25"/>
      <x:c r="N8" s="25"/>
    </x:row>
    <x:row r="9" spans="1:14" ht="7.5" customHeight="1" x14ac:dyDescent="0.3">
      <x:c r="A9" s="43"/>
      <x:c r="B9" s="43"/>
      <x:c r="C9" s="43"/>
      <x:c r="D9" s="43"/>
      <x:c r="E9" s="25"/>
      <x:c r="F9" s="44" t="str">
        <x:f>CONCATENATE("(",TEXT(Data!C9,"0.0"),")")</x:f>
        <x:v>(67.8)</x:v>
      </x:c>
      <x:c r="G9" s="45" t="str">
        <x:f>Data!A9</x:f>
        <x:v>Israel</x:v>
      </x:c>
      <x:c r="H9" s="46" t="str">
        <x:f>CONCATENATE("(",TEXT(Data!F9,"0.0"),")")</x:f>
        <x:v>(65.7)</x:v>
      </x:c>
      <x:c r="I9" s="43"/>
      <x:c r="J9" s="43"/>
      <x:c r="K9" s="25"/>
      <x:c r="L9" s="25"/>
      <x:c r="M9" s="25"/>
      <x:c r="N9" s="25"/>
    </x:row>
    <x:row r="10" spans="1:14" ht="7.5" customHeight="1" x14ac:dyDescent="0.3">
      <x:c r="A10" s="43"/>
      <x:c r="B10" s="43"/>
      <x:c r="C10" s="43"/>
      <x:c r="D10" s="43"/>
      <x:c r="E10" s="25"/>
      <x:c r="F10" s="44" t="str">
        <x:f>CONCATENATE("(",TEXT(Data!C10,"0.0"),")")</x:f>
        <x:v>(67.4)</x:v>
      </x:c>
      <x:c r="G10" s="45" t="str">
        <x:f>Data!A10</x:f>
        <x:v>Colombia</x:v>
      </x:c>
      <x:c r="H10" s="46" t="str">
        <x:f>CONCATENATE("(",TEXT(Data!F10,"0.0"),")")</x:f>
        <x:v>(61.2)</x:v>
      </x:c>
      <x:c r="I10" s="43"/>
      <x:c r="J10" s="43"/>
      <x:c r="K10" s="25"/>
      <x:c r="L10" s="25"/>
      <x:c r="M10" s="25"/>
      <x:c r="N10" s="25"/>
    </x:row>
    <x:row r="11" spans="1:14" ht="7.5" customHeight="1" x14ac:dyDescent="0.3">
      <x:c r="A11" s="43"/>
      <x:c r="B11" s="43"/>
      <x:c r="C11" s="43"/>
      <x:c r="D11" s="43"/>
      <x:c r="E11" s="25"/>
      <x:c r="F11" s="44" t="str">
        <x:f>CONCATENATE("(",TEXT(Data!C11,"0.0"),")")</x:f>
        <x:v>(67.4)</x:v>
      </x:c>
      <x:c r="G11" s="45" t="str">
        <x:f>Data!A11</x:f>
        <x:v>Korea</x:v>
      </x:c>
      <x:c r="H11" s="46" t="str">
        <x:f>CONCATENATE("(",TEXT(Data!F11,"0.0"),")")</x:f>
        <x:v>(69.6)</x:v>
      </x:c>
      <x:c r="I11" s="43"/>
      <x:c r="J11" s="43"/>
      <x:c r="K11" s="25"/>
      <x:c r="L11" s="25"/>
      <x:c r="M11" s="25"/>
      <x:c r="N11" s="25"/>
    </x:row>
    <x:row r="12" spans="1:14" ht="7.5" customHeight="1" x14ac:dyDescent="0.3">
      <x:c r="A12" s="43"/>
      <x:c r="B12" s="43"/>
      <x:c r="C12" s="43"/>
      <x:c r="D12" s="43"/>
      <x:c r="E12" s="25"/>
      <x:c r="F12" s="44" t="str">
        <x:f>CONCATENATE("(",TEXT(Data!C12,"0.0"),")")</x:f>
        <x:v>(67.3)</x:v>
      </x:c>
      <x:c r="G12" s="45" t="str">
        <x:f>Data!A12</x:f>
        <x:v>United States</x:v>
      </x:c>
      <x:c r="H12" s="46" t="str">
        <x:f>CONCATENATE("(",TEXT(Data!F12,"0.0"),")")</x:f>
        <x:v>(66.7)</x:v>
      </x:c>
      <x:c r="I12" s="43"/>
      <x:c r="J12" s="43"/>
      <x:c r="K12" s="25"/>
      <x:c r="L12" s="25"/>
      <x:c r="M12" s="25"/>
      <x:c r="N12" s="25"/>
    </x:row>
    <x:row r="13" spans="1:14" ht="7.5" customHeight="1" x14ac:dyDescent="0.3">
      <x:c r="A13" s="43"/>
      <x:c r="B13" s="43"/>
      <x:c r="C13" s="43"/>
      <x:c r="D13" s="43"/>
      <x:c r="E13" s="25"/>
      <x:c r="F13" s="44" t="str">
        <x:f>CONCATENATE("(",TEXT(Data!C13,"0.0"),")")</x:f>
        <x:v>(66.9)</x:v>
      </x:c>
      <x:c r="G13" s="45" t="str">
        <x:f>Data!A13</x:f>
        <x:v>Japan</x:v>
      </x:c>
      <x:c r="H13" s="46" t="str">
        <x:f>CONCATENATE("(",TEXT(Data!F13,"0.0"),")")</x:f>
        <x:v>(67.4)</x:v>
      </x:c>
      <x:c r="I13" s="43"/>
      <x:c r="J13" s="43"/>
      <x:c r="K13" s="25"/>
      <x:c r="L13" s="25"/>
      <x:c r="M13" s="25"/>
      <x:c r="N13" s="25"/>
    </x:row>
    <x:row r="14" spans="1:14" ht="7.5" customHeight="1" x14ac:dyDescent="0.3">
      <x:c r="A14" s="43"/>
      <x:c r="B14" s="43"/>
      <x:c r="C14" s="43"/>
      <x:c r="D14" s="43"/>
      <x:c r="E14" s="25"/>
      <x:c r="F14" s="44" t="str">
        <x:f>CONCATENATE("(",TEXT(Data!C14,"0.0"),")")</x:f>
        <x:v>(66.9)</x:v>
      </x:c>
      <x:c r="G14" s="45" t="str">
        <x:f>Data!A14</x:f>
        <x:v>New Zealand</x:v>
      </x:c>
      <x:c r="H14" s="46" t="str">
        <x:f>CONCATENATE("(",TEXT(Data!F14,"0.0"),")")</x:f>
        <x:v>(66.9)</x:v>
      </x:c>
      <x:c r="I14" s="43"/>
      <x:c r="J14" s="43"/>
      <x:c r="K14" s="25"/>
      <x:c r="L14" s="25"/>
      <x:c r="M14" s="25"/>
      <x:c r="N14" s="25"/>
    </x:row>
    <x:row r="15" spans="1:14" ht="7.5" customHeight="1" x14ac:dyDescent="0.3">
      <x:c r="A15" s="43"/>
      <x:c r="B15" s="43"/>
      <x:c r="C15" s="43"/>
      <x:c r="D15" s="43"/>
      <x:c r="E15" s="25"/>
      <x:c r="F15" s="44" t="str">
        <x:f>CONCATENATE("(",TEXT(Data!C15,"0.0"),")")</x:f>
        <x:v>(66.9)</x:v>
      </x:c>
      <x:c r="G15" s="45" t="str">
        <x:f>Data!A15</x:f>
        <x:v>Estonia</x:v>
      </x:c>
      <x:c r="H15" s="46" t="str">
        <x:f>CONCATENATE("(",TEXT(Data!F15,"0.0"),")")</x:f>
        <x:v>(67.3)</x:v>
      </x:c>
      <x:c r="I15" s="43"/>
      <x:c r="J15" s="43"/>
      <x:c r="K15" s="25"/>
      <x:c r="L15" s="25"/>
      <x:c r="M15" s="25"/>
      <x:c r="N15" s="25"/>
    </x:row>
    <x:row r="16" spans="1:14" ht="7.5" customHeight="1" x14ac:dyDescent="0.3">
      <x:c r="A16" s="43"/>
      <x:c r="B16" s="43"/>
      <x:c r="C16" s="43"/>
      <x:c r="D16" s="43"/>
      <x:c r="E16" s="25"/>
      <x:c r="F16" s="44" t="str">
        <x:f>CONCATENATE("(",TEXT(Data!C16,"0.0"),")")</x:f>
        <x:v>(66.5)</x:v>
      </x:c>
      <x:c r="G16" s="45" t="str">
        <x:f>Data!A16</x:f>
        <x:v>Portugal</x:v>
      </x:c>
      <x:c r="H16" s="46" t="str">
        <x:f>CONCATENATE("(",TEXT(Data!F16,"0.0"),")")</x:f>
        <x:v>(64.5)</x:v>
      </x:c>
      <x:c r="I16" s="43"/>
      <x:c r="J16" s="43"/>
      <x:c r="K16" s="25"/>
      <x:c r="L16" s="25"/>
      <x:c r="M16" s="25"/>
      <x:c r="N16" s="25"/>
    </x:row>
    <x:row r="17" spans="1:14" ht="7.5" customHeight="1" x14ac:dyDescent="0.3">
      <x:c r="A17" s="43"/>
      <x:c r="B17" s="43"/>
      <x:c r="C17" s="43"/>
      <x:c r="D17" s="43"/>
      <x:c r="E17" s="25"/>
      <x:c r="F17" s="44" t="str">
        <x:f>CONCATENATE("(",TEXT(Data!C17,"0.0"),")")</x:f>
        <x:v>(66.3)</x:v>
      </x:c>
      <x:c r="G17" s="45" t="str">
        <x:f>Data!A17</x:f>
        <x:v>Denmark</x:v>
      </x:c>
      <x:c r="H17" s="46" t="str">
        <x:f>CONCATENATE("(",TEXT(Data!F17,"0.0"),")")</x:f>
        <x:v>(63.5)</x:v>
      </x:c>
      <x:c r="I17" s="43"/>
      <x:c r="J17" s="43"/>
      <x:c r="K17" s="25"/>
      <x:c r="L17" s="25"/>
      <x:c r="M17" s="25"/>
      <x:c r="N17" s="25"/>
    </x:row>
    <x:row r="18" spans="1:14" ht="7.5" customHeight="1" x14ac:dyDescent="0.3">
      <x:c r="A18" s="43"/>
      <x:c r="B18" s="43"/>
      <x:c r="C18" s="43"/>
      <x:c r="D18" s="43"/>
      <x:c r="E18" s="25"/>
      <x:c r="F18" s="44" t="str">
        <x:f>CONCATENATE("(",TEXT(Data!C18,"0.0"),")")</x:f>
        <x:v>(66.1)</x:v>
      </x:c>
      <x:c r="G18" s="45" t="str">
        <x:f>Data!A18</x:f>
        <x:v>Ireland</x:v>
      </x:c>
      <x:c r="H18" s="46" t="str">
        <x:f>CONCATENATE("(",TEXT(Data!F18,"0.0"),")")</x:f>
        <x:v>(66.0)</x:v>
      </x:c>
      <x:c r="I18" s="43"/>
      <x:c r="J18" s="43"/>
      <x:c r="K18" s="25"/>
      <x:c r="L18" s="25"/>
      <x:c r="M18" s="25"/>
      <x:c r="N18" s="25"/>
    </x:row>
    <x:row r="19" spans="1:14" ht="7.5" customHeight="1" x14ac:dyDescent="0.3">
      <x:c r="A19" s="43"/>
      <x:c r="B19" s="43"/>
      <x:c r="C19" s="43"/>
      <x:c r="D19" s="43"/>
      <x:c r="E19" s="25"/>
      <x:c r="F19" s="44" t="str">
        <x:f>CONCATENATE("(",TEXT(Data!C19,"0.0"),")")</x:f>
        <x:v>(65.2)</x:v>
      </x:c>
      <x:c r="G19" s="45" t="str">
        <x:f>Data!A19</x:f>
        <x:v>Canada</x:v>
      </x:c>
      <x:c r="H19" s="46" t="str">
        <x:f>CONCATENATE("(",TEXT(Data!F19,"0.0"),")")</x:f>
        <x:v>(63.2)</x:v>
      </x:c>
      <x:c r="I19" s="43"/>
      <x:c r="J19" s="43"/>
      <x:c r="K19" s="25"/>
      <x:c r="L19" s="25"/>
      <x:c r="M19" s="25"/>
      <x:c r="N19" s="25"/>
    </x:row>
    <x:row r="20" spans="1:14" ht="7.5" customHeight="1" x14ac:dyDescent="0.3">
      <x:c r="A20" s="43"/>
      <x:c r="B20" s="43"/>
      <x:c r="C20" s="43"/>
      <x:c r="D20" s="43"/>
      <x:c r="E20" s="25"/>
      <x:c r="F20" s="44" t="str">
        <x:f>CONCATENATE("(",TEXT(Data!C20,"0.0"),")")</x:f>
        <x:v>(65.1)</x:v>
      </x:c>
      <x:c r="G20" s="45" t="str">
        <x:f>Data!A20</x:f>
        <x:v>Sweden</x:v>
      </x:c>
      <x:c r="H20" s="46" t="str">
        <x:f>CONCATENATE("(",TEXT(Data!F20,"0.0"),")")</x:f>
        <x:v>(65.0)</x:v>
      </x:c>
      <x:c r="I20" s="43"/>
      <x:c r="J20" s="43"/>
      <x:c r="K20" s="25"/>
      <x:c r="L20" s="25"/>
      <x:c r="M20" s="25"/>
      <x:c r="N20" s="25"/>
    </x:row>
    <x:row r="21" spans="1:14" ht="7.5" customHeight="1" x14ac:dyDescent="0.3">
      <x:c r="A21" s="43"/>
      <x:c r="B21" s="43"/>
      <x:c r="C21" s="43"/>
      <x:c r="D21" s="43"/>
      <x:c r="E21" s="25"/>
      <x:c r="F21" s="44" t="str">
        <x:f>CONCATENATE("(",TEXT(Data!C21,"0.0"),")")</x:f>
        <x:v>(65.0)</x:v>
      </x:c>
      <x:c r="G21" s="45" t="str">
        <x:f>Data!A21</x:f>
        <x:v>Netherlands</x:v>
      </x:c>
      <x:c r="H21" s="46" t="str">
        <x:f>CONCATENATE("(",TEXT(Data!F21,"0.0"),")")</x:f>
        <x:v>(64.7)</x:v>
      </x:c>
      <x:c r="I21" s="43"/>
      <x:c r="J21" s="43"/>
      <x:c r="K21" s="25"/>
      <x:c r="L21" s="25"/>
      <x:c r="M21" s="25"/>
      <x:c r="N21" s="25"/>
    </x:row>
    <x:row r="22" spans="1:14" ht="7.5" customHeight="1" x14ac:dyDescent="0.3">
      <x:c r="A22" s="43"/>
      <x:c r="B22" s="43"/>
      <x:c r="C22" s="43"/>
      <x:c r="D22" s="43"/>
      <x:c r="E22" s="25"/>
      <x:c r="F22" s="44" t="str">
        <x:f>CONCATENATE("(",TEXT(Data!C22,"0.0"),")")</x:f>
        <x:v>(64.9)</x:v>
      </x:c>
      <x:c r="G22" s="45" t="str">
        <x:f>Data!A22</x:f>
        <x:v>Australia</x:v>
      </x:c>
      <x:c r="H22" s="46" t="str">
        <x:f>CONCATENATE("(",ROUND(Data!F22,1),")")</x:f>
        <x:v>(64.4)</x:v>
      </x:c>
      <x:c r="I22" s="43"/>
      <x:c r="J22" s="43"/>
      <x:c r="K22" s="25"/>
      <x:c r="L22" s="25"/>
      <x:c r="M22" s="25"/>
      <x:c r="N22" s="25"/>
    </x:row>
    <x:row r="23" spans="1:14" ht="7.5" customHeight="1" x14ac:dyDescent="0.3">
      <x:c r="A23" s="43"/>
      <x:c r="B23" s="43"/>
      <x:c r="C23" s="43"/>
      <x:c r="D23" s="43"/>
      <x:c r="E23" s="25"/>
      <x:c r="F23" s="44" t="str">
        <x:f>CONCATENATE("(",TEXT(Data!C23,"0.0"),")")</x:f>
        <x:v>(64.8)</x:v>
      </x:c>
      <x:c r="G23" s="45" t="str">
        <x:f>Data!A23</x:f>
        <x:v>Costa Rica</x:v>
      </x:c>
      <x:c r="H23" s="46" t="str">
        <x:f>CONCATENATE("(",TEXT(Data!F23,"0.0"),")")</x:f>
        <x:v>(59.8)</x:v>
      </x:c>
      <x:c r="I23" s="43"/>
      <x:c r="J23" s="43"/>
      <x:c r="K23" s="25"/>
      <x:c r="L23" s="25"/>
      <x:c r="M23" s="25"/>
      <x:c r="N23" s="25"/>
    </x:row>
    <x:row r="24" spans="1:14" ht="7.5" customHeight="1" x14ac:dyDescent="0.3">
      <x:c r="A24" s="43"/>
      <x:c r="B24" s="43"/>
      <x:c r="C24" s="43"/>
      <x:c r="D24" s="43"/>
      <x:c r="E24" s="25"/>
      <x:c r="F24" s="47" t="str">
        <x:f>CONCATENATE("(",TEXT(Data!C24,"0.0"),")")</x:f>
        <x:v>(64.7)</x:v>
      </x:c>
      <x:c r="G24" s="48" t="str">
        <x:f>Data!A24</x:f>
        <x:v>OECD</x:v>
      </x:c>
      <x:c r="H24" s="49" t="str">
        <x:f>CONCATENATE("(",ROUND(Data!F24,1),")")</x:f>
        <x:v>(63.6)</x:v>
      </x:c>
      <x:c r="I24" s="43"/>
      <x:c r="J24" s="43"/>
      <x:c r="K24" s="25"/>
      <x:c r="L24" s="25"/>
      <x:c r="M24" s="25"/>
      <x:c r="N24" s="25"/>
    </x:row>
    <x:row r="25" spans="1:14" ht="7.5" customHeight="1" x14ac:dyDescent="0.3">
      <x:c r="A25" s="43"/>
      <x:c r="B25" s="43"/>
      <x:c r="C25" s="43"/>
      <x:c r="D25" s="43"/>
      <x:c r="E25" s="25"/>
      <x:c r="F25" s="44" t="str">
        <x:f>CONCATENATE("(",TEXT(Data!C25,"0.0"),")")</x:f>
        <x:v>(64.2)</x:v>
      </x:c>
      <x:c r="G25" s="45" t="str">
        <x:f>Data!A25</x:f>
        <x:v>Switzerland</x:v>
      </x:c>
      <x:c r="H25" s="46" t="str">
        <x:f>CONCATENATE("(",TEXT(Data!F25,"0.0"),")")</x:f>
        <x:v>(64.5)</x:v>
      </x:c>
      <x:c r="I25" s="43"/>
      <x:c r="J25" s="43"/>
      <x:c r="K25" s="25"/>
      <x:c r="L25" s="25"/>
      <x:c r="M25" s="25"/>
      <x:c r="N25" s="25"/>
    </x:row>
    <x:row r="26" spans="1:14" ht="7.5" customHeight="1" x14ac:dyDescent="0.3">
      <x:c r="A26" s="43"/>
      <x:c r="B26" s="43"/>
      <x:c r="C26" s="43"/>
      <x:c r="D26" s="43"/>
      <x:c r="E26" s="43"/>
      <x:c r="F26" s="44" t="str">
        <x:f>CONCATENATE("(",TEXT(Data!C26,"0.0"),")")</x:f>
        <x:v>(64.2)</x:v>
      </x:c>
      <x:c r="G26" s="45" t="str">
        <x:f>Data!A26</x:f>
        <x:v>Germany</x:v>
      </x:c>
      <x:c r="H26" s="46" t="str">
        <x:f>CONCATENATE("(",TEXT(Data!F26,"0.0"),")")</x:f>
        <x:v>(63.9)</x:v>
      </x:c>
      <x:c r="I26" s="43"/>
      <x:c r="J26" s="43"/>
      <x:c r="K26" s="25"/>
      <x:c r="L26" s="25"/>
      <x:c r="M26" s="25"/>
      <x:c r="N26" s="25"/>
    </x:row>
    <x:row r="27" spans="1:14" ht="7.5" customHeight="1" x14ac:dyDescent="0.3">
      <x:c r="A27" s="25"/>
      <x:c r="B27" s="25"/>
      <x:c r="C27" s="25"/>
      <x:c r="D27" s="25"/>
      <x:c r="E27" s="25"/>
      <x:c r="F27" s="44" t="str">
        <x:f>CONCATENATE("(",TEXT(Data!C27,"0.0"),")")</x:f>
        <x:v>(64.2)</x:v>
      </x:c>
      <x:c r="G27" s="45" t="str">
        <x:f>Data!A27</x:f>
        <x:v>Czechia</x:v>
      </x:c>
      <x:c r="H27" s="46" t="str">
        <x:f>CONCATENATE("(",TEXT(Data!F27,"0.0"),")")</x:f>
        <x:v>(63.0)</x:v>
      </x:c>
      <x:c r="I27" s="25"/>
      <x:c r="J27" s="25"/>
      <x:c r="K27" s="25"/>
      <x:c r="L27" s="25"/>
      <x:c r="M27" s="25"/>
      <x:c r="N27" s="25"/>
    </x:row>
    <x:row r="28" spans="1:14" ht="7.5" customHeight="1" x14ac:dyDescent="0.3">
      <x:c r="A28" s="25"/>
      <x:c r="B28" s="25"/>
      <x:c r="C28" s="25"/>
      <x:c r="D28" s="25"/>
      <x:c r="E28" s="25"/>
      <x:c r="F28" s="44" t="str">
        <x:f>CONCATENATE("(",TEXT(Data!C28,"0.0"),")")</x:f>
        <x:v>(64.0)</x:v>
      </x:c>
      <x:c r="G28" s="45" t="str">
        <x:f>Data!A28</x:f>
        <x:v>Norway</x:v>
      </x:c>
      <x:c r="H28" s="46" t="str">
        <x:f>CONCATENATE("(",TEXT(Data!F28,"0.0"),")")</x:f>
        <x:v>(63.4)</x:v>
      </x:c>
      <x:c r="I28" s="25"/>
      <x:c r="J28" s="25"/>
      <x:c r="K28" s="25"/>
      <x:c r="L28" s="25"/>
      <x:c r="M28" s="25"/>
      <x:c r="N28" s="25"/>
    </x:row>
    <x:row r="29" spans="1:14" ht="7.5" customHeight="1" x14ac:dyDescent="0.3">
      <x:c r="A29" s="25"/>
      <x:c r="B29" s="25"/>
      <x:c r="C29" s="25"/>
      <x:c r="D29" s="25"/>
      <x:c r="E29" s="25"/>
      <x:c r="F29" s="44" t="str">
        <x:f>CONCATENATE("(",TEXT(Data!C29,"0.0"),")")</x:f>
        <x:v>(64.0)</x:v>
      </x:c>
      <x:c r="G29" s="45" t="str">
        <x:f>Data!A29</x:f>
        <x:v>Italy</x:v>
      </x:c>
      <x:c r="H29" s="46" t="str">
        <x:f>CONCATENATE("(",TEXT(Data!F29,"0.0"),")")</x:f>
        <x:v>(62.6)</x:v>
      </x:c>
      <x:c r="I29" s="25"/>
      <x:c r="J29" s="25"/>
      <x:c r="K29" s="25"/>
      <x:c r="L29" s="25"/>
      <x:c r="M29" s="25"/>
      <x:c r="N29" s="25"/>
    </x:row>
    <x:row r="30" spans="1:14" ht="7.5" customHeight="1" x14ac:dyDescent="0.3">
      <x:c r="A30" s="25"/>
      <x:c r="B30" s="25"/>
      <x:c r="C30" s="25"/>
      <x:c r="D30" s="25"/>
      <x:c r="E30" s="25"/>
      <x:c r="F30" s="44" t="str">
        <x:f>CONCATENATE("(",TEXT(Data!C30,"0.0"),")")</x:f>
        <x:v>(63.8)</x:v>
      </x:c>
      <x:c r="G30" s="45" t="str">
        <x:f>Data!A30</x:f>
        <x:v>United Kingdom</x:v>
      </x:c>
      <x:c r="H30" s="46" t="str">
        <x:f>CONCATENATE("(",TEXT(Data!F30,"0.0"),")")</x:f>
        <x:v>(63.1)</x:v>
      </x:c>
      <x:c r="I30" s="25"/>
      <x:c r="J30" s="25"/>
      <x:c r="K30" s="25"/>
      <x:c r="L30" s="25"/>
      <x:c r="M30" s="25"/>
      <x:c r="N30" s="25"/>
    </x:row>
    <x:row r="31" spans="1:14" ht="7.5" customHeight="1" x14ac:dyDescent="0.3">
      <x:c r="A31" s="25"/>
      <x:c r="B31" s="25"/>
      <x:c r="C31" s="25"/>
      <x:c r="D31" s="25"/>
      <x:c r="E31" s="25"/>
      <x:c r="F31" s="44" t="str">
        <x:f>CONCATENATE("(",TEXT(Data!C31,"0.0"),")")</x:f>
        <x:v>(63.7)</x:v>
      </x:c>
      <x:c r="G31" s="45" t="str">
        <x:f>Data!A31</x:f>
        <x:v>Poland</x:v>
      </x:c>
      <x:c r="H31" s="46" t="str">
        <x:f>CONCATENATE("(",TEXT(Data!F31,"0.0"),")")</x:f>
        <x:v>(61.4)</x:v>
      </x:c>
      <x:c r="I31" s="25"/>
      <x:c r="J31" s="25"/>
      <x:c r="K31" s="25"/>
      <x:c r="L31" s="25"/>
      <x:c r="M31" s="25"/>
      <x:c r="N31" s="25"/>
    </x:row>
    <x:row r="32" spans="1:14" ht="7.5" customHeight="1" x14ac:dyDescent="0.3">
      <x:c r="A32" s="25"/>
      <x:c r="B32" s="25"/>
      <x:c r="C32" s="25"/>
      <x:c r="D32" s="25"/>
      <x:c r="E32" s="25"/>
      <x:c r="F32" s="44" t="str">
        <x:f>CONCATENATE("(",TEXT(Data!C32,"0.0"),")")</x:f>
        <x:v>(63.7)</x:v>
      </x:c>
      <x:c r="G32" s="45" t="str">
        <x:f>Data!A32</x:f>
        <x:v>Greece</x:v>
      </x:c>
      <x:c r="H32" s="46" t="str">
        <x:f>CONCATENATE("(",TEXT(Data!F32,"0.0"),")")</x:f>
        <x:v>(61.9)</x:v>
      </x:c>
      <x:c r="I32" s="25"/>
      <x:c r="J32" s="25"/>
      <x:c r="K32" s="25"/>
      <x:c r="L32" s="25"/>
      <x:c r="M32" s="25"/>
      <x:c r="N32" s="25"/>
    </x:row>
    <x:row r="33" spans="1:14" ht="7.5" customHeight="1" x14ac:dyDescent="0.3">
      <x:c r="A33" s="25"/>
      <x:c r="B33" s="25"/>
      <x:c r="C33" s="25"/>
      <x:c r="D33" s="25"/>
      <x:c r="E33" s="25"/>
      <x:c r="F33" s="44" t="str">
        <x:f>CONCATENATE("(",TEXT(Data!C33,"0.0"),")")</x:f>
        <x:v>(63.6)</x:v>
      </x:c>
      <x:c r="G33" s="45" t="str">
        <x:f>Data!A33</x:f>
        <x:v>Hungary</x:v>
      </x:c>
      <x:c r="H33" s="46" t="str">
        <x:f>CONCATENATE("(",TEXT(Data!F33,"0.0"),")")</x:f>
        <x:v>(62.0)</x:v>
      </x:c>
      <x:c r="I33" s="25"/>
      <x:c r="J33" s="25"/>
      <x:c r="K33" s="25"/>
      <x:c r="L33" s="25"/>
      <x:c r="M33" s="25"/>
      <x:c r="N33" s="25"/>
    </x:row>
    <x:row r="34" spans="1:14" ht="7.5" customHeight="1" x14ac:dyDescent="0.3">
      <x:c r="A34" s="25"/>
      <x:c r="B34" s="25"/>
      <x:c r="C34" s="25"/>
      <x:c r="D34" s="25"/>
      <x:c r="E34" s="25"/>
      <x:c r="F34" s="44" t="str">
        <x:f>CONCATENATE("(",TEXT(Data!C34,"0.0"),")")</x:f>
        <x:v>(63.6)</x:v>
      </x:c>
      <x:c r="G34" s="45" t="str">
        <x:f>Data!A34</x:f>
        <x:v>Latvia</x:v>
      </x:c>
      <x:c r="H34" s="46" t="str">
        <x:f>CONCATENATE("(",TEXT(Data!F34,"0.0"),")")</x:f>
        <x:v>(63.4)</x:v>
      </x:c>
      <x:c r="I34" s="25"/>
      <x:c r="J34" s="25"/>
      <x:c r="K34" s="25"/>
      <x:c r="L34" s="25"/>
      <x:c r="M34" s="25"/>
      <x:c r="N34" s="25"/>
    </x:row>
    <x:row r="35" spans="1:14" ht="7.5" customHeight="1" x14ac:dyDescent="0.3">
      <x:c r="A35" s="25"/>
      <x:c r="B35" s="25"/>
      <x:c r="C35" s="25"/>
      <x:c r="D35" s="25"/>
      <x:c r="E35" s="25"/>
      <x:c r="F35" s="44" t="str">
        <x:f>CONCATENATE("(",TEXT(Data!C35,"0.0"),")")</x:f>
        <x:v>(63.5)</x:v>
      </x:c>
      <x:c r="G35" s="45" t="str">
        <x:f>Data!A35</x:f>
        <x:v>Finland</x:v>
      </x:c>
      <x:c r="H35" s="46" t="str">
        <x:f>CONCATENATE("(",TEXT(Data!F35,"0.0"),")")</x:f>
        <x:v>(62.9)</x:v>
      </x:c>
      <x:c r="I35" s="25"/>
      <x:c r="J35" s="25"/>
      <x:c r="K35" s="25"/>
      <x:c r="L35" s="25"/>
      <x:c r="M35" s="25"/>
      <x:c r="N35" s="25"/>
    </x:row>
    <x:row r="36" spans="1:14" ht="7.5" customHeight="1" x14ac:dyDescent="0.3">
      <x:c r="A36" s="25"/>
      <x:c r="B36" s="25"/>
      <x:c r="C36" s="25"/>
      <x:c r="D36" s="25"/>
      <x:c r="E36" s="25"/>
      <x:c r="F36" s="44" t="str">
        <x:f>CONCATENATE("(",TEXT(Data!C36,"0.0"),")")</x:f>
        <x:v>(63.5)</x:v>
      </x:c>
      <x:c r="G36" s="45" t="str">
        <x:f>Data!A36</x:f>
        <x:v>Lithuania</x:v>
      </x:c>
      <x:c r="H36" s="46" t="str">
        <x:f>CONCATENATE("(",TEXT(Data!F36,"0.0"),")")</x:f>
        <x:v>(63.5)</x:v>
      </x:c>
      <x:c r="I36" s="25"/>
      <x:c r="J36" s="25"/>
      <x:c r="K36" s="25"/>
      <x:c r="L36" s="25"/>
      <x:c r="M36" s="25"/>
      <x:c r="N36" s="25"/>
    </x:row>
    <x:row r="37" spans="1:14" ht="7.5" customHeight="1" x14ac:dyDescent="0.3">
      <x:c r="A37" s="25"/>
      <x:c r="B37" s="25"/>
      <x:c r="C37" s="25"/>
      <x:c r="D37" s="25"/>
      <x:c r="E37" s="25"/>
      <x:c r="F37" s="44" t="str">
        <x:f>CONCATENATE("(",TEXT(Data!C37,"0.0"),")")</x:f>
        <x:v>(62.7)</x:v>
      </x:c>
      <x:c r="G37" s="45" t="str">
        <x:f>Data!A37</x:f>
        <x:v>Austria</x:v>
      </x:c>
      <x:c r="H37" s="46" t="str">
        <x:f>CONCATENATE("(",TEXT(Data!F37,"0.0"),")")</x:f>
        <x:v>(61.2)</x:v>
      </x:c>
      <x:c r="I37" s="25"/>
      <x:c r="J37" s="25"/>
      <x:c r="K37" s="25"/>
      <x:c r="L37" s="25"/>
      <x:c r="M37" s="25"/>
      <x:c r="N37" s="25"/>
    </x:row>
    <x:row r="38" spans="1:14" ht="7.5" customHeight="1" x14ac:dyDescent="0.3">
      <x:c r="A38" s="25"/>
      <x:c r="B38" s="25"/>
      <x:c r="C38" s="25"/>
      <x:c r="D38" s="25"/>
      <x:c r="E38" s="25"/>
      <x:c r="F38" s="44" t="str">
        <x:f>CONCATENATE("(",TEXT(Data!C38,"0.0"),")")</x:f>
        <x:v>(62.7)</x:v>
      </x:c>
      <x:c r="G38" s="45" t="str">
        <x:f>Data!A38</x:f>
        <x:v>Slovak Republic</x:v>
      </x:c>
      <x:c r="H38" s="46" t="str">
        <x:f>CONCATENATE("(",TEXT(Data!F38,"0.0"),")")</x:f>
        <x:v>(61.2)</x:v>
      </x:c>
      <x:c r="I38" s="25"/>
      <x:c r="J38" s="25"/>
      <x:c r="K38" s="25"/>
      <x:c r="L38" s="25"/>
      <x:c r="M38" s="25"/>
      <x:c r="N38" s="25"/>
    </x:row>
    <x:row r="39" spans="1:14" ht="7.5" customHeight="1" x14ac:dyDescent="0.3">
      <x:c r="A39" s="25"/>
      <x:c r="B39" s="25"/>
      <x:c r="C39" s="25"/>
      <x:c r="D39" s="25"/>
      <x:c r="E39" s="25"/>
      <x:c r="F39" s="44" t="str">
        <x:f>CONCATENATE("(",TEXT(Data!C39,"0.0"),")")</x:f>
        <x:v>(62.4)</x:v>
      </x:c>
      <x:c r="G39" s="45" t="str">
        <x:f>Data!A39</x:f>
        <x:v>Belgium</x:v>
      </x:c>
      <x:c r="H39" s="46" t="str">
        <x:f>CONCATENATE("(",TEXT(Data!F39,"0.0"),")")</x:f>
        <x:v>(60.6)</x:v>
      </x:c>
      <x:c r="I39" s="25"/>
      <x:c r="J39" s="25"/>
      <x:c r="K39" s="25"/>
      <x:c r="L39" s="25"/>
      <x:c r="M39" s="25"/>
      <x:c r="N39" s="25"/>
    </x:row>
    <x:row r="40" spans="1:14" ht="7.5" customHeight="1" x14ac:dyDescent="0.3">
      <x:c r="A40" s="25"/>
      <x:c r="B40" s="25"/>
      <x:c r="C40" s="25"/>
      <x:c r="D40" s="25"/>
      <x:c r="E40" s="25"/>
      <x:c r="F40" s="44" t="str">
        <x:f>CONCATENATE("(",TEXT(Data!C40,"0.0"),")")</x:f>
        <x:v>(62.4)</x:v>
      </x:c>
      <x:c r="G40" s="45" t="str">
        <x:f>Data!A40</x:f>
        <x:v>Spain</x:v>
      </x:c>
      <x:c r="H40" s="46" t="str">
        <x:f>CONCATENATE("(",TEXT(Data!F40,"0.0"),")")</x:f>
        <x:v>(63.0)</x:v>
      </x:c>
      <x:c r="I40" s="25"/>
      <x:c r="J40" s="25"/>
      <x:c r="K40" s="25"/>
      <x:c r="L40" s="25"/>
      <x:c r="M40" s="25"/>
      <x:c r="N40" s="25"/>
    </x:row>
    <x:row r="41" spans="1:14" ht="7.5" customHeight="1" x14ac:dyDescent="0.3">
      <x:c r="A41" s="25"/>
      <x:c r="B41" s="25"/>
      <x:c r="C41" s="25"/>
      <x:c r="D41" s="25"/>
      <x:c r="E41" s="25"/>
      <x:c r="F41" s="44" t="str">
        <x:f>CONCATENATE("(",TEXT(Data!C41,"0.0"),")")</x:f>
        <x:v>(61.9)</x:v>
      </x:c>
      <x:c r="G41" s="45" t="str">
        <x:f>Data!A41</x:f>
        <x:v>France</x:v>
      </x:c>
      <x:c r="H41" s="46" t="str">
        <x:f>CONCATENATE("(",TEXT(Data!F41,"0.0"),")")</x:f>
        <x:v>(62.4)</x:v>
      </x:c>
      <x:c r="I41" s="25"/>
      <x:c r="J41" s="25"/>
      <x:c r="K41" s="25"/>
      <x:c r="L41" s="25"/>
      <x:c r="M41" s="25"/>
      <x:c r="N41" s="25"/>
    </x:row>
    <x:row r="42" spans="1:14" ht="7.5" customHeight="1" x14ac:dyDescent="0.3">
      <x:c r="A42" s="25"/>
      <x:c r="B42" s="25"/>
      <x:c r="C42" s="25"/>
      <x:c r="D42" s="25"/>
      <x:c r="E42" s="25"/>
      <x:c r="F42" s="44" t="str">
        <x:f>CONCATENATE("(",TEXT(Data!C42,"0.0"),")")</x:f>
        <x:v>(60.8)</x:v>
      </x:c>
      <x:c r="G42" s="45" t="str">
        <x:f>Data!A42</x:f>
        <x:v>Slovenia</x:v>
      </x:c>
      <x:c r="H42" s="46" t="str">
        <x:f>CONCATENATE("(",TEXT(Data!F42,"0.0"),")")</x:f>
        <x:v>(59.5)</x:v>
      </x:c>
      <x:c r="I42" s="25"/>
      <x:c r="J42" s="25"/>
      <x:c r="K42" s="25"/>
      <x:c r="L42" s="25"/>
      <x:c r="M42" s="25"/>
      <x:c r="N42" s="25"/>
    </x:row>
    <x:row r="43" spans="1:14" ht="7.5" customHeight="1" x14ac:dyDescent="0.3">
      <x:c r="A43" s="25"/>
      <x:c r="B43" s="25"/>
      <x:c r="C43" s="25"/>
      <x:c r="D43" s="25"/>
      <x:c r="E43" s="25"/>
      <x:c r="F43" s="44" t="str">
        <x:f>CONCATENATE("(",TEXT(Data!C43,"0.0"),")")</x:f>
        <x:v>(60.8)</x:v>
      </x:c>
      <x:c r="G43" s="45" t="str">
        <x:f>Data!A43</x:f>
        <x:v>Türkiye</x:v>
      </x:c>
      <x:c r="H43" s="46" t="str">
        <x:f>CONCATENATE("(",TEXT(Data!F43,"0.0"),")")</x:f>
        <x:v>(60.5)</x:v>
      </x:c>
      <x:c r="I43" s="25"/>
      <x:c r="J43" s="25"/>
      <x:c r="K43" s="25"/>
      <x:c r="L43" s="25"/>
      <x:c r="M43" s="25"/>
      <x:c r="N43" s="25"/>
    </x:row>
    <x:row r="44" spans="1:14" ht="7.5" customHeight="1" x14ac:dyDescent="0.3">
      <x:c r="A44" s="25"/>
      <x:c r="B44" s="50"/>
      <x:c r="C44" s="50"/>
      <x:c r="D44" s="50"/>
      <x:c r="E44" s="50"/>
      <x:c r="F44" s="44" t="str">
        <x:f>CONCATENATE("(",TEXT(Data!C44,"0.0"),")")</x:f>
        <x:v>(60.1)</x:v>
      </x:c>
      <x:c r="G44" s="45" t="str">
        <x:f>Data!A44</x:f>
        <x:v>Luxembourg</x:v>
      </x:c>
      <x:c r="H44" s="46" t="str">
        <x:f>CONCATENATE("(",TEXT(Data!F44,"0.0"),")")</x:f>
        <x:v>(60.3)</x:v>
      </x:c>
      <x:c r="I44" s="50"/>
      <x:c r="J44" s="50"/>
      <x:c r="K44" s="25"/>
      <x:c r="L44" s="25"/>
      <x:c r="M44" s="25"/>
      <x:c r="N44" s="25"/>
    </x:row>
    <x:row r="45" spans="1:14" ht="7.5" customHeight="1" x14ac:dyDescent="0.3">
      <x:c r="A45" s="25"/>
      <x:c r="B45" s="51"/>
      <x:c r="C45" s="51"/>
      <x:c r="D45" s="51"/>
      <x:c r="E45" s="51"/>
      <x:c r="F45" s="44"/>
      <x:c r="G45" s="45"/>
      <x:c r="H45" s="52"/>
      <x:c r="I45" s="25"/>
      <x:c r="J45" s="25"/>
      <x:c r="K45" s="25"/>
      <x:c r="L45" s="25"/>
      <x:c r="M45" s="25"/>
      <x:c r="N45" s="25"/>
    </x:row>
    <x:row r="46" spans="1:14" ht="7.5" customHeight="1" x14ac:dyDescent="0.3">
      <x:c r="A46" s="25"/>
      <x:c r="B46" s="51"/>
      <x:c r="C46" s="51"/>
      <x:c r="D46" s="51"/>
      <x:c r="E46" s="51"/>
      <x:c r="F46" s="44" t="str">
        <x:f>CONCATENATE("(",TEXT(Data!C46,"0.0"),")")</x:f>
        <x:v>(64.6)</x:v>
      </x:c>
      <x:c r="G46" s="45" t="str">
        <x:f>Data!A46</x:f>
        <x:v>Argentina</x:v>
      </x:c>
      <x:c r="H46" s="46" t="str">
        <x:f>CONCATENATE("(",TEXT(Data!F46,"0.0"),")")</x:f>
        <x:v>(63.8)</x:v>
      </x:c>
      <x:c r="I46" s="25"/>
      <x:c r="J46" s="25"/>
      <x:c r="K46" s="25"/>
      <x:c r="L46" s="25"/>
      <x:c r="M46" s="25"/>
      <x:c r="N46" s="25"/>
    </x:row>
    <x:row r="47" spans="1:14" ht="7.5" customHeight="1" x14ac:dyDescent="0.3">
      <x:c r="A47" s="25"/>
      <x:c r="B47" s="51"/>
      <x:c r="C47" s="51"/>
      <x:c r="D47" s="51"/>
      <x:c r="E47" s="51"/>
      <x:c r="F47" s="44" t="str">
        <x:f>CONCATENATE("(",TEXT(Data!C47,"0.0"),")")</x:f>
        <x:v>(56.1)</x:v>
      </x:c>
      <x:c r="G47" s="45" t="str">
        <x:f>Data!A47</x:f>
        <x:v>India</x:v>
      </x:c>
      <x:c r="H47" s="46" t="str">
        <x:f>CONCATENATE("(",TEXT(Data!F47,"0.0"),")")</x:f>
        <x:v>(54.8)</x:v>
      </x:c>
      <x:c r="I47" s="25"/>
      <x:c r="J47" s="25"/>
      <x:c r="K47" s="25"/>
      <x:c r="L47" s="25"/>
      <x:c r="M47" s="25"/>
      <x:c r="N47" s="25"/>
    </x:row>
    <x:row r="48" spans="1:14" ht="7.5" customHeight="1" x14ac:dyDescent="0.3">
      <x:c r="A48" s="25"/>
      <x:c r="B48" s="51"/>
      <x:c r="C48" s="51"/>
      <x:c r="D48" s="51"/>
      <x:c r="E48" s="51"/>
      <x:c r="F48" s="44" t="str">
        <x:f>CONCATENATE("(",TEXT(Data!C48,"0.0"),")")</x:f>
        <x:v>(55.8)</x:v>
      </x:c>
      <x:c r="G48" s="45" t="str">
        <x:f>Data!A48</x:f>
        <x:v>Brazil</x:v>
      </x:c>
      <x:c r="H48" s="46" t="str">
        <x:f>CONCATENATE("(",TEXT(Data!F48,"0.0"),")")</x:f>
        <x:v>(53.9)</x:v>
      </x:c>
      <x:c r="I48" s="25"/>
      <x:c r="J48" s="25"/>
      <x:c r="K48" s="25"/>
      <x:c r="L48" s="25"/>
      <x:c r="M48" s="25"/>
      <x:c r="N48" s="25"/>
    </x:row>
    <x:row r="49" spans="1:14" ht="7.5" customHeight="1" x14ac:dyDescent="0.3">
      <x:c r="A49" s="25"/>
      <x:c r="B49" s="51"/>
      <x:c r="C49" s="51"/>
      <x:c r="D49" s="51"/>
      <x:c r="E49" s="51"/>
      <x:c r="F49" s="44" t="str">
        <x:f>CONCATENATE("(",TEXT(Data!C49,"0.0"),")")</x:f>
        <x:v>(54.1)</x:v>
      </x:c>
      <x:c r="G49" s="45" t="str">
        <x:f>Data!A49</x:f>
        <x:v>South Africa</x:v>
      </x:c>
      <x:c r="H49" s="46" t="str">
        <x:f>CONCATENATE("(",TEXT(Data!F49,"0.0"),")")</x:f>
        <x:v>(53.0)</x:v>
      </x:c>
      <x:c r="I49" s="25"/>
      <x:c r="J49" s="25"/>
      <x:c r="K49" s="25"/>
      <x:c r="L49" s="25"/>
      <x:c r="M49" s="25"/>
      <x:c r="N49" s="25"/>
    </x:row>
    <x:row r="50" spans="1:14" ht="7.5" customHeight="1" x14ac:dyDescent="0.3">
      <x:c r="A50" s="25"/>
      <x:c r="B50" s="51"/>
      <x:c r="C50" s="51"/>
      <x:c r="D50" s="51"/>
      <x:c r="E50" s="51"/>
      <x:c r="F50" s="44" t="str">
        <x:f>CONCATENATE("(",TEXT(Data!C50,"0.0"),")")</x:f>
        <x:v>(63.7)</x:v>
      </x:c>
      <x:c r="G50" s="45" t="str">
        <x:f>Data!A50</x:f>
        <x:v>EU27</x:v>
      </x:c>
      <x:c r="H50" s="46" t="str">
        <x:f>CONCATENATE("(",TEXT(Data!F50,"0.0"),")")</x:f>
        <x:v>(62.8)</x:v>
      </x:c>
      <x:c r="I50" s="25"/>
      <x:c r="J50" s="25"/>
      <x:c r="K50" s="25"/>
      <x:c r="L50" s="25"/>
      <x:c r="M50" s="25"/>
      <x:c r="N50" s="25"/>
    </x:row>
    <x:row r="51" spans="1:14" ht="7.5" customHeight="1" x14ac:dyDescent="0.3">
      <x:c r="A51" s="25"/>
      <x:c r="B51" s="51"/>
      <x:c r="C51" s="51"/>
      <x:c r="D51" s="51"/>
      <x:c r="E51" s="51"/>
      <x:c r="F51" s="44"/>
      <x:c r="G51" s="45"/>
      <x:c r="H51" s="46"/>
      <x:c r="I51" s="25"/>
      <x:c r="J51" s="25"/>
      <x:c r="K51" s="25"/>
      <x:c r="L51" s="25"/>
      <x:c r="M51" s="25"/>
      <x:c r="N51" s="25"/>
    </x:row>
    <x:row r="52" spans="1:14" ht="5.5" customHeight="1" x14ac:dyDescent="0.3">
      <x:c r="A52" s="25"/>
      <x:c r="B52" s="51"/>
      <x:c r="C52" s="51"/>
      <x:c r="D52" s="51"/>
      <x:c r="E52" s="51"/>
      <x:c r="F52" s="51"/>
      <x:c r="G52" s="53"/>
      <x:c r="H52" s="54"/>
      <x:c r="I52" s="25"/>
      <x:c r="J52" s="25"/>
      <x:c r="K52" s="25"/>
      <x:c r="L52" s="25"/>
      <x:c r="M52" s="25"/>
      <x:c r="N52" s="25"/>
    </x:row>
    <x:row r="53" spans="1:14" ht="13.5" customHeight="1" x14ac:dyDescent="0.3">
      <x:c r="A53" s="27"/>
      <x:c r="B53" s="28"/>
      <x:c r="C53" s="28"/>
      <x:c r="D53" s="28"/>
      <x:c r="E53" s="28"/>
      <x:c r="F53" s="28"/>
      <x:c r="G53" s="29"/>
      <x:c r="H53" s="30"/>
      <x:c r="I53" s="27"/>
      <x:c r="J53" s="27"/>
      <x:c r="K53" s="27"/>
      <x:c r="L53" s="27"/>
      <x:c r="M53" s="27"/>
      <x:c r="N53" s="25"/>
    </x:row>
    <x:row r="54" spans="1:14" ht="13.5" customHeight="1" x14ac:dyDescent="0.3">
      <x:c r="B54" s="2"/>
      <x:c r="C54" s="2"/>
      <x:c r="D54" s="2"/>
      <x:c r="E54" s="2"/>
      <x:c r="F54" s="2"/>
      <x:c r="G54" s="31"/>
      <x:c r="H54" s="32"/>
    </x:row>
    <x:row r="55" spans="1:14" ht="13.5" customHeight="1" x14ac:dyDescent="0.3">
      <x:c r="B55" s="2"/>
      <x:c r="C55" s="2"/>
      <x:c r="D55" s="2"/>
      <x:c r="E55" s="2"/>
      <x:c r="F55" s="2"/>
      <x:c r="G55" s="32"/>
      <x:c r="H55" s="32"/>
    </x:row>
    <x:row r="56" spans="1:14" ht="13.5" customHeight="1" x14ac:dyDescent="0.3">
      <x:c r="B56" s="2"/>
      <x:c r="C56" s="2"/>
      <x:c r="D56" s="2"/>
      <x:c r="E56" s="2"/>
      <x:c r="F56" s="2"/>
      <x:c r="G56" s="32"/>
      <x:c r="H56" s="32"/>
    </x:row>
    <x:row r="57" spans="1:14" ht="13.5" customHeight="1" x14ac:dyDescent="0.3">
      <x:c r="B57" s="2"/>
      <x:c r="C57" s="2"/>
      <x:c r="D57" s="2"/>
      <x:c r="E57" s="2"/>
      <x:c r="F57" s="2"/>
      <x:c r="G57" s="32"/>
      <x:c r="H57" s="32"/>
    </x:row>
    <x:row r="58" spans="1:14" ht="13.5" customHeight="1" x14ac:dyDescent="0.3">
      <x:c r="B58" s="2"/>
      <x:c r="C58" s="2"/>
      <x:c r="D58" s="2"/>
      <x:c r="E58" s="2"/>
      <x:c r="F58" s="2"/>
      <x:c r="G58" s="32"/>
      <x:c r="H58" s="32"/>
    </x:row>
    <x:row r="59" spans="1:14" ht="13.5" customHeight="1" x14ac:dyDescent="0.3">
      <x:c r="B59" s="2"/>
      <x:c r="C59" s="2"/>
      <x:c r="D59" s="2"/>
      <x:c r="E59" s="2"/>
      <x:c r="F59" s="2"/>
      <x:c r="G59" s="32"/>
      <x:c r="H59" s="32"/>
    </x:row>
    <x:row r="60" spans="1:14" ht="13.5" customHeight="1" x14ac:dyDescent="0.3">
      <x:c r="B60" s="2"/>
      <x:c r="C60" s="2"/>
      <x:c r="D60" s="2"/>
      <x:c r="E60" s="2"/>
      <x:c r="F60" s="2"/>
      <x:c r="G60" s="32"/>
      <x:c r="H60" s="32"/>
    </x:row>
    <x:row r="61" spans="1:14" ht="13.5" customHeight="1" x14ac:dyDescent="0.3">
      <x:c r="B61" s="2"/>
      <x:c r="C61" s="2"/>
      <x:c r="D61" s="2"/>
      <x:c r="E61" s="2"/>
      <x:c r="F61" s="2"/>
      <x:c r="G61" s="32"/>
      <x:c r="H61" s="32"/>
    </x:row>
    <x:row r="62" spans="1:14" x14ac:dyDescent="0.3">
      <x:c r="A62" s="33" t="s">
        <x:v>62</x:v>
      </x:c>
      <x:c r="B62" s="4"/>
      <x:c r="C62" s="34"/>
      <x:c r="D62" s="4"/>
      <x:c r="E62" s="34"/>
      <x:c r="F62" s="34"/>
      <x:c r="G62" s="32"/>
      <x:c r="H62" s="32"/>
    </x:row>
    <x:row r="63" spans="1:14" x14ac:dyDescent="0.3">
      <x:c r="A63" s="35" t="s">
        <x:v>61</x:v>
      </x:c>
      <x:c r="B63" s="4"/>
      <x:c r="C63" s="34"/>
      <x:c r="D63" s="4"/>
      <x:c r="E63" s="34"/>
      <x:c r="F63" s="34"/>
      <x:c r="G63" s="32"/>
      <x:c r="H63" s="32"/>
    </x:row>
    <x:row r="64" spans="1:14" x14ac:dyDescent="0.3">
      <x:c r="A64" s="3"/>
      <x:c r="B64" s="4"/>
      <x:c r="C64" s="34"/>
      <x:c r="D64" s="4"/>
      <x:c r="E64" s="34"/>
      <x:c r="F64" s="34"/>
      <x:c r="G64" s="32"/>
      <x:c r="H64" s="32"/>
    </x:row>
    <x:row r="65" spans="1:8" x14ac:dyDescent="0.3">
      <x:c r="A65" s="3"/>
      <x:c r="B65" s="4"/>
      <x:c r="C65" s="34"/>
      <x:c r="D65" s="4"/>
      <x:c r="E65" s="34"/>
      <x:c r="F65" s="34"/>
      <x:c r="G65" s="32"/>
      <x:c r="H65" s="32"/>
    </x:row>
    <x:row r="66" spans="1:8" x14ac:dyDescent="0.3">
      <x:c r="A66" s="3"/>
      <x:c r="B66" s="4"/>
      <x:c r="C66" s="34"/>
      <x:c r="D66" s="4"/>
      <x:c r="E66" s="34"/>
      <x:c r="F66" s="34"/>
      <x:c r="G66" s="32"/>
      <x:c r="H66" s="32"/>
    </x:row>
    <x:row r="67" spans="1:8" x14ac:dyDescent="0.3">
      <x:c r="A67" s="3"/>
      <x:c r="B67" s="4"/>
      <x:c r="C67" s="34"/>
      <x:c r="D67" s="4"/>
      <x:c r="E67" s="34"/>
      <x:c r="F67" s="34"/>
      <x:c r="G67" s="32"/>
      <x:c r="H67" s="32"/>
    </x:row>
    <x:row r="68" spans="1:8" x14ac:dyDescent="0.3">
      <x:c r="A68" s="36"/>
      <x:c r="B68" s="37"/>
      <x:c r="C68" s="37"/>
      <x:c r="D68" s="37"/>
      <x:c r="E68" s="37"/>
      <x:c r="F68" s="37"/>
      <x:c r="G68" s="38"/>
      <x:c r="H68" s="38"/>
    </x:row>
    <x:row r="69" spans="1:8" x14ac:dyDescent="0.3">
      <x:c r="A69" s="3"/>
      <x:c r="B69" s="4"/>
      <x:c r="C69" s="34"/>
      <x:c r="D69" s="4"/>
      <x:c r="E69" s="34"/>
      <x:c r="F69" s="34"/>
      <x:c r="G69" s="32"/>
      <x:c r="H69" s="32"/>
    </x:row>
    <x:row r="70" spans="1:8" x14ac:dyDescent="0.3">
      <x:c r="A70" s="3"/>
      <x:c r="B70" s="4"/>
      <x:c r="C70" s="34"/>
      <x:c r="D70" s="4"/>
      <x:c r="E70" s="34"/>
      <x:c r="F70" s="34"/>
      <x:c r="G70" s="32"/>
      <x:c r="H70" s="32"/>
    </x:row>
    <x:row r="71" spans="1:8" x14ac:dyDescent="0.3">
      <x:c r="A71" s="3"/>
      <x:c r="B71" s="4"/>
      <x:c r="C71" s="34"/>
      <x:c r="D71" s="4"/>
      <x:c r="E71" s="34"/>
      <x:c r="F71" s="34"/>
      <x:c r="G71" s="32"/>
      <x:c r="H71" s="32"/>
    </x:row>
    <x:row r="72" spans="1:8" x14ac:dyDescent="0.3">
      <x:c r="A72" s="3"/>
      <x:c r="B72" s="4"/>
      <x:c r="C72" s="34"/>
      <x:c r="D72" s="4"/>
      <x:c r="E72" s="34"/>
      <x:c r="F72" s="34"/>
      <x:c r="G72" s="32"/>
      <x:c r="H72" s="32"/>
    </x:row>
    <x:row r="73" spans="1:8" x14ac:dyDescent="0.3">
      <x:c r="A73" s="3"/>
      <x:c r="B73" s="4"/>
      <x:c r="C73" s="34"/>
      <x:c r="D73" s="4"/>
      <x:c r="E73" s="34"/>
      <x:c r="F73" s="34"/>
      <x:c r="G73" s="32"/>
      <x:c r="H73" s="32"/>
    </x:row>
    <x:row r="74" spans="1:8" x14ac:dyDescent="0.3">
      <x:c r="A74" s="3"/>
      <x:c r="B74" s="4"/>
      <x:c r="C74" s="34"/>
      <x:c r="D74" s="4"/>
      <x:c r="E74" s="34"/>
      <x:c r="F74" s="34"/>
      <x:c r="G74" s="32"/>
      <x:c r="H74" s="32"/>
    </x:row>
    <x:row r="75" spans="1:8" x14ac:dyDescent="0.3">
      <x:c r="A75" s="3"/>
      <x:c r="B75" s="4"/>
      <x:c r="C75" s="34"/>
      <x:c r="D75" s="4"/>
      <x:c r="E75" s="34"/>
      <x:c r="F75" s="34"/>
      <x:c r="G75" s="32"/>
      <x:c r="H75" s="32"/>
    </x:row>
    <x:row r="76" spans="1:8" x14ac:dyDescent="0.3">
      <x:c r="A76" s="3"/>
      <x:c r="B76" s="4"/>
      <x:c r="C76" s="34"/>
      <x:c r="D76" s="4"/>
      <x:c r="E76" s="34"/>
      <x:c r="F76" s="34"/>
      <x:c r="G76" s="32"/>
      <x:c r="H76" s="32"/>
    </x:row>
    <x:row r="77" spans="1:8" x14ac:dyDescent="0.3">
      <x:c r="A77" s="3"/>
      <x:c r="B77" s="4"/>
      <x:c r="C77" s="34"/>
      <x:c r="D77" s="4"/>
      <x:c r="E77" s="34"/>
      <x:c r="F77" s="34"/>
      <x:c r="G77" s="32"/>
      <x:c r="H77" s="32"/>
    </x:row>
    <x:row r="78" spans="1:8" x14ac:dyDescent="0.3">
      <x:c r="A78" s="3"/>
      <x:c r="B78" s="4"/>
      <x:c r="C78" s="4"/>
      <x:c r="D78" s="4"/>
      <x:c r="E78" s="4"/>
      <x:c r="F78" s="4"/>
      <x:c r="G78" s="32"/>
      <x:c r="H78" s="32"/>
    </x:row>
    <x:row r="79" spans="1:8" x14ac:dyDescent="0.3">
      <x:c r="A79" s="3"/>
      <x:c r="B79" s="4"/>
      <x:c r="C79" s="34"/>
      <x:c r="D79" s="4"/>
      <x:c r="E79" s="34"/>
      <x:c r="F79" s="34"/>
      <x:c r="G79" s="32"/>
      <x:c r="H79" s="32"/>
    </x:row>
    <x:row r="80" spans="1:8" x14ac:dyDescent="0.3">
      <x:c r="A80" s="3"/>
      <x:c r="B80" s="4"/>
      <x:c r="C80" s="34"/>
      <x:c r="D80" s="4"/>
      <x:c r="E80" s="34"/>
      <x:c r="F80" s="34"/>
      <x:c r="G80" s="32"/>
      <x:c r="H80" s="32"/>
    </x:row>
    <x:row r="81" spans="1:8" x14ac:dyDescent="0.3">
      <x:c r="A81" s="3"/>
      <x:c r="B81" s="4"/>
      <x:c r="C81" s="34"/>
      <x:c r="D81" s="4"/>
      <x:c r="E81" s="34"/>
      <x:c r="F81" s="34"/>
      <x:c r="G81" s="32"/>
      <x:c r="H81" s="32"/>
    </x:row>
    <x:row r="82" spans="1:8" x14ac:dyDescent="0.3">
      <x:c r="A82" s="3"/>
      <x:c r="B82" s="4"/>
      <x:c r="C82" s="34"/>
      <x:c r="D82" s="4"/>
      <x:c r="E82" s="34"/>
      <x:c r="F82" s="34"/>
      <x:c r="G82" s="32"/>
      <x:c r="H82" s="32"/>
    </x:row>
    <x:row r="83" spans="1:8" x14ac:dyDescent="0.3">
      <x:c r="A83" s="3"/>
      <x:c r="B83" s="4"/>
      <x:c r="C83" s="34"/>
      <x:c r="D83" s="4"/>
      <x:c r="E83" s="34"/>
      <x:c r="F83" s="34"/>
      <x:c r="G83" s="32"/>
      <x:c r="H83" s="32"/>
    </x:row>
    <x:row r="84" spans="1:8" x14ac:dyDescent="0.3">
      <x:c r="A84" s="3"/>
      <x:c r="B84" s="4"/>
      <x:c r="C84" s="34"/>
      <x:c r="D84" s="4"/>
      <x:c r="E84" s="34"/>
      <x:c r="F84" s="34"/>
      <x:c r="G84" s="32"/>
      <x:c r="H84" s="32"/>
    </x:row>
    <x:row r="85" spans="1:8" x14ac:dyDescent="0.3">
      <x:c r="A85" s="3"/>
      <x:c r="B85" s="4"/>
      <x:c r="C85" s="34"/>
      <x:c r="D85" s="4"/>
      <x:c r="E85" s="34"/>
      <x:c r="F85" s="34"/>
      <x:c r="G85" s="32"/>
      <x:c r="H85" s="32"/>
    </x:row>
  </x:sheetData>
  <x:mergeCells count="2">
    <x:mergeCell ref="A3:E3"/>
    <x:mergeCell ref="I3:M3"/>
  </x:mergeCells>
  <x:pageMargins left="0.74803149606299213" right="0.74803149606299213" top="0.98425196850393704" bottom="0.98425196850393704" header="0.51181102362204722" footer="0.51181102362204722"/>
  <x:pageSetup paperSize="9" scale="96" orientation="portrait" r:id="rId1"/>
  <x:headerFooter alignWithMargins="0">
    <x:oddFooter>&amp;C_x000D_&amp;1#&amp;"Calibri"&amp;10&amp;K0000FF Restricted Use - À usage restreint</x:oddFooter>
  </x:headerFooter>
  <x:customProperties>
    <x:customPr name="CycleColor" r:id="rId2"/>
    <x:customPr name="DashStyle" r:id="rId3"/>
    <x:customPr name="GraphSizeIndex" r:id="rId4"/>
    <x:customPr name="GraphSizeName" r:id="rId5"/>
    <x:customPr name="ManualHeight" r:id="rId6"/>
    <x:customPr name="ManualWidth" r:id="rId7"/>
    <x:customPr name="PageSizeIndex" r:id="rId8"/>
    <x:customPr name="PageSizeName" r:id="rId9"/>
    <x:customPr name="PaletteIndex" r:id="rId10"/>
    <x:customPr name="PaletteName" r:id="rId11"/>
    <x:customPr name="PanelLayoutIndex" r:id="rId12"/>
    <x:customPr name="PanelLayoutName" r:id="rId13"/>
    <x:customPr name="PrintArea" r:id="rId14"/>
    <x:customPr name="SinglePanel" r:id="rId15"/>
    <x:customPr name="StartColorIndex" r:id="rId16"/>
    <x:customPr name="StartColorName" r:id="rId17"/>
    <x:customPr name="StyleTemplateIndex" r:id="rId18"/>
    <x:customPr name="StyleTemplateName" r:id="rId19"/>
  </x:customProperties>
  <x:drawing r:id="rId20"/>
</x:worksheet>
</file>

<file path=xl/worksheets/sheet2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R84"/>
  <x:sheetViews>
    <x:sheetView zoomScale="60" zoomScaleNormal="60" workbookViewId="0">
      <x:selection sqref="A1:XFD1048576"/>
    </x:sheetView>
  </x:sheetViews>
  <x:sheetFormatPr defaultColWidth="9.1796875" defaultRowHeight="12.5" x14ac:dyDescent="0.25"/>
  <x:cols>
    <x:col min="1" max="1" width="15.26953125" style="9" bestFit="1" customWidth="1"/>
    <x:col min="2" max="2" width="9.1796875" style="9"/>
    <x:col min="3" max="3" width="9.1796875" style="9" customWidth="1"/>
    <x:col min="4" max="4" width="9.6328125" style="9" bestFit="1" customWidth="1"/>
    <x:col min="5" max="5" width="8.54296875" style="9" customWidth="1"/>
    <x:col min="6" max="16384" width="9.1796875" style="9"/>
  </x:cols>
  <x:sheetData>
    <x:row r="1" spans="1:17" s="5" customFormat="1" x14ac:dyDescent="0.25"/>
    <x:row r="2" spans="1:17" s="1" customFormat="1" ht="13" x14ac:dyDescent="0.3">
      <x:c r="A2" s="16" t="s">
        <x:v>45</x:v>
      </x:c>
      <x:c r="B2" s="2"/>
      <x:c r="G2" s="2"/>
    </x:row>
    <x:row r="3" spans="1:17" s="1" customFormat="1" ht="13" x14ac:dyDescent="0.3">
      <x:c r="A3" s="6"/>
    </x:row>
    <x:row r="4" spans="1:17" s="1" customFormat="1" ht="13" x14ac:dyDescent="0.3">
      <x:c r="A4" s="2"/>
      <x:c r="B4" s="2"/>
      <x:c r="C4" s="56" t="s">
        <x:v>0</x:v>
      </x:c>
      <x:c r="D4" s="56"/>
      <x:c r="E4" s="56"/>
      <x:c r="F4" s="56" t="s">
        <x:v>1</x:v>
      </x:c>
      <x:c r="G4" s="56"/>
      <x:c r="H4" s="56"/>
      <x:c r="I4" s="2" t="s">
        <x:v>40</x:v>
      </x:c>
      <x:c r="J4" s="2"/>
      <x:c r="K4" s="2"/>
    </x:row>
    <x:row r="5" spans="1:17" s="1" customFormat="1" ht="13" x14ac:dyDescent="0.3">
      <x:c r="A5" s="2"/>
      <x:c r="B5" s="18" t="s">
        <x:v>4</x:v>
      </x:c>
      <x:c r="C5" s="18" t="s">
        <x:v>2</x:v>
      </x:c>
      <x:c r="D5" s="18" t="s">
        <x:v>3</x:v>
      </x:c>
      <x:c r="E5" s="18" t="s">
        <x:v>41</x:v>
      </x:c>
      <x:c r="F5" s="18" t="s">
        <x:v>2</x:v>
      </x:c>
      <x:c r="G5" s="18" t="s">
        <x:v>3</x:v>
      </x:c>
      <x:c r="H5" s="18" t="s">
        <x:v>41</x:v>
      </x:c>
      <x:c r="I5" s="18" t="s">
        <x:v>2</x:v>
      </x:c>
      <x:c r="J5" s="18" t="s">
        <x:v>3</x:v>
      </x:c>
      <x:c r="K5" s="19" t="s">
        <x:v>42</x:v>
      </x:c>
    </x:row>
    <x:row r="6" spans="1:17" s="1" customFormat="1" ht="13" x14ac:dyDescent="0.3">
      <x:c r="A6" s="14" t="s">
        <x:v>7</x:v>
      </x:c>
      <x:c r="B6" s="14">
        <x:v>2024</x:v>
      </x:c>
      <x:c r="C6" s="22">
        <x:v>69.042972768152993</x:v>
      </x:c>
      <x:c r="D6" s="22">
        <x:v>65</x:v>
      </x:c>
      <x:c r="E6" s="20">
        <x:v>4.0429727681529926</x:v>
      </x:c>
      <x:c r="F6" s="22">
        <x:v>66.153135560196915</x:v>
      </x:c>
      <x:c r="G6" s="22">
        <x:v>65</x:v>
      </x:c>
      <x:c r="H6" s="20">
        <x:v>1.1531355601969153</x:v>
      </x:c>
      <x:c r="I6" s="20">
        <x:v>2.8898372079560772</x:v>
      </x:c>
      <x:c r="J6" s="21">
        <x:v>0</x:v>
      </x:c>
      <x:c r="K6" s="15">
        <x:v>30.6</x:v>
      </x:c>
      <x:c r="N6" s="7">
        <x:v>2.8898372079560772</x:v>
      </x:c>
      <x:c r="P6" s="7">
        <x:v>1</x:v>
      </x:c>
      <x:c r="Q6" s="7">
        <x:v>1</x:v>
      </x:c>
    </x:row>
    <x:row r="7" spans="1:17" s="1" customFormat="1" ht="13" x14ac:dyDescent="0.3">
      <x:c r="A7" s="14" t="s">
        <x:v>9</x:v>
      </x:c>
      <x:c r="B7" s="14">
        <x:v>2024</x:v>
      </x:c>
      <x:c r="C7" s="22">
        <x:v>68.714373424853278</x:v>
      </x:c>
      <x:c r="D7" s="22">
        <x:v>67</x:v>
      </x:c>
      <x:c r="E7" s="20">
        <x:v>1.714373424853278</x:v>
      </x:c>
      <x:c r="F7" s="22">
        <x:v>65.933580602705291</x:v>
      </x:c>
      <x:c r="G7" s="22">
        <x:v>67</x:v>
      </x:c>
      <x:c r="H7" s="20">
        <x:v>-1.0664193972947089</x:v>
      </x:c>
      <x:c r="I7" s="20">
        <x:v>2.780792822147987</x:v>
      </x:c>
      <x:c r="J7" s="21">
        <x:v>0</x:v>
      </x:c>
      <x:c r="K7" s="15">
        <x:v>29.913636363636364</x:v>
      </x:c>
      <x:c r="N7" s="7">
        <x:v>2.780792822147987</x:v>
      </x:c>
      <x:c r="P7" s="7">
        <x:v>1</x:v>
      </x:c>
      <x:c r="Q7" s="7">
        <x:v>0</x:v>
      </x:c>
    </x:row>
    <x:row r="8" spans="1:17" s="1" customFormat="1" ht="13" x14ac:dyDescent="0.3">
      <x:c r="A8" s="14" t="s">
        <x:v>6</x:v>
      </x:c>
      <x:c r="B8" s="14">
        <x:v>2024</x:v>
      </x:c>
      <x:c r="C8" s="22">
        <x:v>67.784205508633278</x:v>
      </x:c>
      <x:c r="D8" s="22">
        <x:v>65</x:v>
      </x:c>
      <x:c r="E8" s="20">
        <x:v>2.7842055086332778</x:v>
      </x:c>
      <x:c r="F8" s="22">
        <x:v>65.684496595019795</x:v>
      </x:c>
      <x:c r="G8" s="22">
        <x:v>65</x:v>
      </x:c>
      <x:c r="H8" s="20">
        <x:v>0.68449659501979454</x:v>
      </x:c>
      <x:c r="I8" s="20">
        <x:v>2.0997089136134832</x:v>
      </x:c>
      <x:c r="J8" s="21">
        <x:v>0</x:v>
      </x:c>
      <x:c r="K8" s="15">
        <x:v>29.227272727272727</x:v>
      </x:c>
      <x:c r="N8" s="7">
        <x:v>2.0997089136134832</x:v>
      </x:c>
      <x:c r="P8" s="7">
        <x:v>1</x:v>
      </x:c>
      <x:c r="Q8" s="7">
        <x:v>1</x:v>
      </x:c>
    </x:row>
    <x:row r="9" spans="1:17" s="1" customFormat="1" ht="13" x14ac:dyDescent="0.3">
      <x:c r="A9" s="14" t="s">
        <x:v>10</x:v>
      </x:c>
      <x:c r="B9" s="14">
        <x:v>2024</x:v>
      </x:c>
      <x:c r="C9" s="22">
        <x:v>67.779409374013341</x:v>
      </x:c>
      <x:c r="D9" s="22">
        <x:v>67</x:v>
      </x:c>
      <x:c r="E9" s="20">
        <x:v>0.77940937401334054</x:v>
      </x:c>
      <x:c r="F9" s="22">
        <x:v>65.687496541876683</x:v>
      </x:c>
      <x:c r="G9" s="22">
        <x:v>62</x:v>
      </x:c>
      <x:c r="H9" s="20">
        <x:v>3.6874965418766834</x:v>
      </x:c>
      <x:c r="I9" s="20">
        <x:v>2.0919128321366571</x:v>
      </x:c>
      <x:c r="J9" s="21">
        <x:v>5</x:v>
      </x:c>
      <x:c r="K9" s="15">
        <x:v>28.540909090909089</x:v>
      </x:c>
      <x:c r="N9" s="7">
        <x:v>2.0919128321366571</x:v>
      </x:c>
      <x:c r="P9" s="7">
        <x:v>1</x:v>
      </x:c>
      <x:c r="Q9" s="7">
        <x:v>1</x:v>
      </x:c>
    </x:row>
    <x:row r="10" spans="1:17" s="1" customFormat="1" ht="13" x14ac:dyDescent="0.3">
      <x:c r="A10" s="14" t="s">
        <x:v>46</x:v>
      </x:c>
      <x:c r="B10" s="14">
        <x:v>2024</x:v>
      </x:c>
      <x:c r="C10" s="22">
        <x:v>67.425475862652988</x:v>
      </x:c>
      <x:c r="D10" s="22">
        <x:v>62</x:v>
      </x:c>
      <x:c r="E10" s="20">
        <x:v>5.4254758626529878</x:v>
      </x:c>
      <x:c r="F10" s="22">
        <x:v>61.174156177408065</x:v>
      </x:c>
      <x:c r="G10" s="22">
        <x:v>57</x:v>
      </x:c>
      <x:c r="H10" s="20">
        <x:v>4.1741561774080651</x:v>
      </x:c>
      <x:c r="I10" s="20">
        <x:v>6.2513196852449227</x:v>
      </x:c>
      <x:c r="J10" s="21">
        <x:v>5</x:v>
      </x:c>
      <x:c r="K10" s="15">
        <x:v>27.854545454545452</x:v>
      </x:c>
      <x:c r="N10" s="7">
        <x:v>6.2513196852449227</x:v>
      </x:c>
      <x:c r="P10" s="7">
        <x:v>1</x:v>
      </x:c>
      <x:c r="Q10" s="7">
        <x:v>1</x:v>
      </x:c>
    </x:row>
    <x:row r="11" spans="1:17" s="1" customFormat="1" ht="13" x14ac:dyDescent="0.3">
      <x:c r="A11" s="14" t="s">
        <x:v>5</x:v>
      </x:c>
      <x:c r="B11" s="14">
        <x:v>2024</x:v>
      </x:c>
      <x:c r="C11" s="22">
        <x:v>67.41492058724711</x:v>
      </x:c>
      <x:c r="D11" s="22">
        <x:v>63</x:v>
      </x:c>
      <x:c r="E11" s="20">
        <x:v>4.41492058724711</x:v>
      </x:c>
      <x:c r="F11" s="22">
        <x:v>69.576137020245127</x:v>
      </x:c>
      <x:c r="G11" s="22">
        <x:v>63</x:v>
      </x:c>
      <x:c r="H11" s="20">
        <x:v>6.5761370202451275</x:v>
      </x:c>
      <x:c r="I11" s="20">
        <x:v>-2.1612164329980175</x:v>
      </x:c>
      <x:c r="J11" s="21">
        <x:v>0</x:v>
      </x:c>
      <x:c r="K11" s="15">
        <x:v>27.168181818181814</x:v>
      </x:c>
      <x:c r="N11" s="7">
        <x:v>-2.1612164329980175</x:v>
      </x:c>
      <x:c r="P11" s="7">
        <x:v>1</x:v>
      </x:c>
      <x:c r="Q11" s="7">
        <x:v>1</x:v>
      </x:c>
    </x:row>
    <x:row r="12" spans="1:17" s="1" customFormat="1" ht="13" x14ac:dyDescent="0.3">
      <x:c r="A12" s="14" t="s">
        <x:v>14</x:v>
      </x:c>
      <x:c r="B12" s="14">
        <x:v>2024</x:v>
      </x:c>
      <x:c r="C12" s="22">
        <x:v>67.256444540464045</x:v>
      </x:c>
      <x:c r="D12" s="22">
        <x:v>66.666666666666671</x:v>
      </x:c>
      <x:c r="E12" s="20">
        <x:v>0.58977787379737379</x:v>
      </x:c>
      <x:c r="F12" s="22">
        <x:v>66.702770722518608</x:v>
      </x:c>
      <x:c r="G12" s="22">
        <x:v>66.666666666666671</x:v>
      </x:c>
      <x:c r="H12" s="20">
        <x:v>3.6104055851936323E-2</x:v>
      </x:c>
      <x:c r="I12" s="20">
        <x:v>0.55367381794543746</x:v>
      </x:c>
      <x:c r="J12" s="21">
        <x:v>0</x:v>
      </x:c>
      <x:c r="K12" s="15">
        <x:v>26.481818181818177</x:v>
      </x:c>
      <x:c r="N12" s="7">
        <x:v>0.55367381794543746</x:v>
      </x:c>
      <x:c r="P12" s="7">
        <x:v>1</x:v>
      </x:c>
      <x:c r="Q12" s="7">
        <x:v>1</x:v>
      </x:c>
    </x:row>
    <x:row r="13" spans="1:17" s="1" customFormat="1" ht="13" x14ac:dyDescent="0.3">
      <x:c r="A13" s="14" t="s">
        <x:v>8</x:v>
      </x:c>
      <x:c r="B13" s="14">
        <x:v>2024</x:v>
      </x:c>
      <x:c r="C13" s="22">
        <x:v>66.91953014035019</x:v>
      </x:c>
      <x:c r="D13" s="22">
        <x:v>65</x:v>
      </x:c>
      <x:c r="E13" s="20">
        <x:v>1.9195301403501901</x:v>
      </x:c>
      <x:c r="F13" s="22">
        <x:v>67.35748271173685</x:v>
      </x:c>
      <x:c r="G13" s="22">
        <x:v>65</x:v>
      </x:c>
      <x:c r="H13" s="20">
        <x:v>2.35748271173685</x:v>
      </x:c>
      <x:c r="I13" s="20">
        <x:v>-0.43795257138665988</x:v>
      </x:c>
      <x:c r="J13" s="21">
        <x:v>0</x:v>
      </x:c>
      <x:c r="K13" s="15">
        <x:v>25.79545454545454</x:v>
      </x:c>
      <x:c r="N13" s="7">
        <x:v>-0.43795257138665988</x:v>
      </x:c>
      <x:c r="P13" s="7">
        <x:v>1</x:v>
      </x:c>
      <x:c r="Q13" s="7">
        <x:v>1</x:v>
      </x:c>
    </x:row>
    <x:row r="14" spans="1:17" s="1" customFormat="1" ht="13" x14ac:dyDescent="0.3">
      <x:c r="A14" s="14" t="s">
        <x:v>12</x:v>
      </x:c>
      <x:c r="B14" s="14">
        <x:v>2024</x:v>
      </x:c>
      <x:c r="C14" s="22">
        <x:v>66.859045061249972</x:v>
      </x:c>
      <x:c r="D14" s="22">
        <x:v>65</x:v>
      </x:c>
      <x:c r="E14" s="20">
        <x:v>1.8590450612499723</x:v>
      </x:c>
      <x:c r="F14" s="22">
        <x:v>66.852415778329927</x:v>
      </x:c>
      <x:c r="G14" s="22">
        <x:v>65</x:v>
      </x:c>
      <x:c r="H14" s="20">
        <x:v>1.8524157783299273</x:v>
      </x:c>
      <x:c r="I14" s="20">
        <x:v>6.6292829200449432E-3</x:v>
      </x:c>
      <x:c r="J14" s="21">
        <x:v>0</x:v>
      </x:c>
      <x:c r="K14" s="15">
        <x:v>25.109090909090902</x:v>
      </x:c>
      <x:c r="N14" s="7">
        <x:v>6.6292829200449432E-3</x:v>
      </x:c>
      <x:c r="P14" s="7">
        <x:v>1</x:v>
      </x:c>
      <x:c r="Q14" s="7">
        <x:v>1</x:v>
      </x:c>
    </x:row>
    <x:row r="15" spans="1:17" s="1" customFormat="1" ht="13" x14ac:dyDescent="0.3">
      <x:c r="A15" s="14" t="s">
        <x:v>21</x:v>
      </x:c>
      <x:c r="B15" s="14">
        <x:v>2024</x:v>
      </x:c>
      <x:c r="C15" s="22">
        <x:v>66.857203345364752</x:v>
      </x:c>
      <x:c r="D15" s="22">
        <x:v>64.75</x:v>
      </x:c>
      <x:c r="E15" s="20">
        <x:v>2.1072033453647521</x:v>
      </x:c>
      <x:c r="F15" s="22">
        <x:v>67.269167125555882</x:v>
      </x:c>
      <x:c r="G15" s="22">
        <x:v>64.75</x:v>
      </x:c>
      <x:c r="H15" s="20">
        <x:v>2.5191671255558816</x:v>
      </x:c>
      <x:c r="I15" s="20">
        <x:v>-0.41196378019112956</x:v>
      </x:c>
      <x:c r="J15" s="21">
        <x:v>0</x:v>
      </x:c>
      <x:c r="K15" s="15">
        <x:v>24.422727272727265</x:v>
      </x:c>
      <x:c r="N15" s="7">
        <x:v>-0.41196378019112956</x:v>
      </x:c>
      <x:c r="P15" s="7">
        <x:v>1</x:v>
      </x:c>
      <x:c r="Q15" s="7">
        <x:v>1</x:v>
      </x:c>
    </x:row>
    <x:row r="16" spans="1:17" s="1" customFormat="1" ht="13" x14ac:dyDescent="0.3">
      <x:c r="A16" s="14" t="s">
        <x:v>11</x:v>
      </x:c>
      <x:c r="B16" s="14">
        <x:v>2024</x:v>
      </x:c>
      <x:c r="C16" s="22">
        <x:v>66.49745930172493</x:v>
      </x:c>
      <x:c r="D16" s="22">
        <x:v>65.333333333333329</x:v>
      </x:c>
      <x:c r="E16" s="20">
        <x:v>1.1641259683916019</x:v>
      </x:c>
      <x:c r="F16" s="22">
        <x:v>64.472406099272447</x:v>
      </x:c>
      <x:c r="G16" s="22">
        <x:v>65.333333333333329</x:v>
      </x:c>
      <x:c r="H16" s="20">
        <x:v>-0.86092723406088112</x:v>
      </x:c>
      <x:c r="I16" s="20">
        <x:v>2.025053202452483</x:v>
      </x:c>
      <x:c r="J16" s="21">
        <x:v>0</x:v>
      </x:c>
      <x:c r="K16" s="15">
        <x:v>23.736363636363627</x:v>
      </x:c>
      <x:c r="N16" s="7">
        <x:v>2.025053202452483</x:v>
      </x:c>
      <x:c r="P16" s="7">
        <x:v>1</x:v>
      </x:c>
      <x:c r="Q16" s="7">
        <x:v>0</x:v>
      </x:c>
    </x:row>
    <x:row r="17" spans="1:17" s="1" customFormat="1" ht="13" x14ac:dyDescent="0.3">
      <x:c r="A17" s="14" t="s">
        <x:v>23</x:v>
      </x:c>
      <x:c r="B17" s="14">
        <x:v>2024</x:v>
      </x:c>
      <x:c r="C17" s="22">
        <x:v>66.276823326462832</x:v>
      </x:c>
      <x:c r="D17" s="22">
        <x:v>67</x:v>
      </x:c>
      <x:c r="E17" s="20">
        <x:v>-0.72317667353716786</x:v>
      </x:c>
      <x:c r="F17" s="22">
        <x:v>63.535371215988398</x:v>
      </x:c>
      <x:c r="G17" s="22">
        <x:v>67</x:v>
      </x:c>
      <x:c r="H17" s="20">
        <x:v>-3.4646287840116017</x:v>
      </x:c>
      <x:c r="I17" s="20">
        <x:v>2.7414521104744338</x:v>
      </x:c>
      <x:c r="J17" s="21">
        <x:v>0</x:v>
      </x:c>
      <x:c r="K17" s="15">
        <x:v>23.04999999999999</x:v>
      </x:c>
      <x:c r="N17" s="7">
        <x:v>2.7414521104744338</x:v>
      </x:c>
      <x:c r="P17" s="7">
        <x:v>0</x:v>
      </x:c>
      <x:c r="Q17" s="7">
        <x:v>0</x:v>
      </x:c>
    </x:row>
    <x:row r="18" spans="1:17" s="1" customFormat="1" ht="13" x14ac:dyDescent="0.3">
      <x:c r="A18" s="14" t="s">
        <x:v>13</x:v>
      </x:c>
      <x:c r="B18" s="14">
        <x:v>2024</x:v>
      </x:c>
      <x:c r="C18" s="22">
        <x:v>66.082294658277391</x:v>
      </x:c>
      <x:c r="D18" s="22">
        <x:v>66</x:v>
      </x:c>
      <x:c r="E18" s="20">
        <x:v>8.2294658277390909E-2</x:v>
      </x:c>
      <x:c r="F18" s="22">
        <x:v>66.007905420341231</x:v>
      </x:c>
      <x:c r="G18" s="22">
        <x:v>66</x:v>
      </x:c>
      <x:c r="H18" s="20">
        <x:v>7.9054203412312063E-3</x:v>
      </x:c>
      <x:c r="I18" s="20">
        <x:v>7.4389237936159702E-2</x:v>
      </x:c>
      <x:c r="J18" s="21">
        <x:v>0</x:v>
      </x:c>
      <x:c r="K18" s="15">
        <x:v>22.363636363636353</x:v>
      </x:c>
      <x:c r="N18" s="7">
        <x:v>7.4389237936159702E-2</x:v>
      </x:c>
      <x:c r="P18" s="7">
        <x:v>1</x:v>
      </x:c>
      <x:c r="Q18" s="7">
        <x:v>1</x:v>
      </x:c>
    </x:row>
    <x:row r="19" spans="1:17" s="1" customFormat="1" ht="13" x14ac:dyDescent="0.3">
      <x:c r="A19" s="14" t="s">
        <x:v>17</x:v>
      </x:c>
      <x:c r="B19" s="14">
        <x:v>2024</x:v>
      </x:c>
      <x:c r="C19" s="22">
        <x:v>65.154770120740622</x:v>
      </x:c>
      <x:c r="D19" s="22">
        <x:v>65</x:v>
      </x:c>
      <x:c r="E19" s="20">
        <x:v>0.15477012074062202</x:v>
      </x:c>
      <x:c r="F19" s="22">
        <x:v>63.152669647917357</x:v>
      </x:c>
      <x:c r="G19" s="22">
        <x:v>65</x:v>
      </x:c>
      <x:c r="H19" s="20">
        <x:v>-1.8473303520826434</x:v>
      </x:c>
      <x:c r="I19" s="20">
        <x:v>2.0021004728232654</x:v>
      </x:c>
      <x:c r="J19" s="21">
        <x:v>0</x:v>
      </x:c>
      <x:c r="K19" s="15">
        <x:v>21.677272727272715</x:v>
      </x:c>
      <x:c r="N19" s="7">
        <x:v>2.0021004728232654</x:v>
      </x:c>
      <x:c r="P19" s="7">
        <x:v>1</x:v>
      </x:c>
      <x:c r="Q19" s="7">
        <x:v>0</x:v>
      </x:c>
    </x:row>
    <x:row r="20" spans="1:17" s="1" customFormat="1" ht="13" x14ac:dyDescent="0.3">
      <x:c r="A20" s="14" t="s">
        <x:v>18</x:v>
      </x:c>
      <x:c r="B20" s="14">
        <x:v>2024</x:v>
      </x:c>
      <x:c r="C20" s="22">
        <x:v>65.054448211517339</x:v>
      </x:c>
      <x:c r="D20" s="22">
        <x:v>66</x:v>
      </x:c>
      <x:c r="E20" s="20">
        <x:v>-0.94555178848266053</x:v>
      </x:c>
      <x:c r="F20" s="22">
        <x:v>64.975889515106985</x:v>
      </x:c>
      <x:c r="G20" s="22">
        <x:v>66</x:v>
      </x:c>
      <x:c r="H20" s="20">
        <x:v>-1.0241104848930149</x:v>
      </x:c>
      <x:c r="I20" s="20">
        <x:v>7.8558696410354401E-2</x:v>
      </x:c>
      <x:c r="J20" s="21">
        <x:v>0</x:v>
      </x:c>
      <x:c r="K20" s="15">
        <x:v>20.990909090909078</x:v>
      </x:c>
      <x:c r="N20" s="7">
        <x:v>7.8558696410354401E-2</x:v>
      </x:c>
      <x:c r="P20" s="7">
        <x:v>0</x:v>
      </x:c>
      <x:c r="Q20" s="7">
        <x:v>0</x:v>
      </x:c>
    </x:row>
    <x:row r="21" spans="1:17" s="1" customFormat="1" ht="13" x14ac:dyDescent="0.3">
      <x:c r="A21" s="14" t="s">
        <x:v>25</x:v>
      </x:c>
      <x:c r="B21" s="14">
        <x:v>2024</x:v>
      </x:c>
      <x:c r="C21" s="22">
        <x:v>64.992236059255887</x:v>
      </x:c>
      <x:c r="D21" s="22">
        <x:v>67</x:v>
      </x:c>
      <x:c r="E21" s="20">
        <x:v>-2.0077639407441126</x:v>
      </x:c>
      <x:c r="F21" s="22">
        <x:v>64.700134514228367</x:v>
      </x:c>
      <x:c r="G21" s="22">
        <x:v>67</x:v>
      </x:c>
      <x:c r="H21" s="20">
        <x:v>-2.2998654857716332</x:v>
      </x:c>
      <x:c r="I21" s="20">
        <x:v>0.29210154502752061</x:v>
      </x:c>
      <x:c r="J21" s="21">
        <x:v>0</x:v>
      </x:c>
      <x:c r="K21" s="15">
        <x:v>20.30454545454544</x:v>
      </x:c>
      <x:c r="N21" s="7">
        <x:v>0.29210154502752061</x:v>
      </x:c>
      <x:c r="P21" s="7">
        <x:v>0</x:v>
      </x:c>
      <x:c r="Q21" s="7">
        <x:v>0</x:v>
      </x:c>
    </x:row>
    <x:row r="22" spans="1:17" s="1" customFormat="1" ht="13" x14ac:dyDescent="0.3">
      <x:c r="A22" s="14" t="s">
        <x:v>19</x:v>
      </x:c>
      <x:c r="B22" s="14">
        <x:v>2024</x:v>
      </x:c>
      <x:c r="C22" s="22">
        <x:v>64.929127328237996</x:v>
      </x:c>
      <x:c r="D22" s="22">
        <x:v>67</x:v>
      </x:c>
      <x:c r="E22" s="20">
        <x:v>-2.0708726717620038</x:v>
      </x:c>
      <x:c r="F22" s="22">
        <x:v>64.417166324724789</x:v>
      </x:c>
      <x:c r="G22" s="22">
        <x:v>67</x:v>
      </x:c>
      <x:c r="H22" s="20">
        <x:v>-2.5828336752752108</x:v>
      </x:c>
      <x:c r="I22" s="20">
        <x:v>0.51196100351320695</x:v>
      </x:c>
      <x:c r="J22" s="21">
        <x:v>0</x:v>
      </x:c>
      <x:c r="K22" s="15">
        <x:v>19.618181818181803</x:v>
      </x:c>
      <x:c r="N22" s="7">
        <x:v>0.51196100351320695</x:v>
      </x:c>
      <x:c r="P22" s="7">
        <x:v>0</x:v>
      </x:c>
      <x:c r="Q22" s="7">
        <x:v>0</x:v>
      </x:c>
    </x:row>
    <x:row r="23" spans="1:17" s="1" customFormat="1" ht="13" x14ac:dyDescent="0.3">
      <x:c r="A23" s="14" t="s">
        <x:v>47</x:v>
      </x:c>
      <x:c r="B23" s="14">
        <x:v>2024</x:v>
      </x:c>
      <x:c r="C23" s="22">
        <x:v>64.83951700747852</x:v>
      </x:c>
      <x:c r="D23" s="22">
        <x:v>65</x:v>
      </x:c>
      <x:c r="E23" s="20">
        <x:v>-0.16048299252148013</x:v>
      </x:c>
      <x:c r="F23" s="22">
        <x:v>59.796179100645169</x:v>
      </x:c>
      <x:c r="G23" s="22">
        <x:v>63</x:v>
      </x:c>
      <x:c r="H23" s="20">
        <x:v>-3.2038208993548309</x:v>
      </x:c>
      <x:c r="I23" s="20">
        <x:v>5.0433379068333508</x:v>
      </x:c>
      <x:c r="J23" s="21">
        <x:v>2</x:v>
      </x:c>
      <x:c r="K23" s="15">
        <x:v>18.931818181818166</x:v>
      </x:c>
      <x:c r="N23" s="7">
        <x:v>5.0433379068333508</x:v>
      </x:c>
      <x:c r="P23" s="7">
        <x:v>0</x:v>
      </x:c>
      <x:c r="Q23" s="7">
        <x:v>0</x:v>
      </x:c>
    </x:row>
    <x:row r="24" spans="1:17" s="1" customFormat="1" ht="13" x14ac:dyDescent="0.3">
      <x:c r="A24" s="14" t="s">
        <x:v>20</x:v>
      </x:c>
      <x:c r="B24" s="14">
        <x:v>2024</x:v>
      </x:c>
      <x:c r="C24" s="22">
        <x:v>64.72909122524193</x:v>
      </x:c>
      <x:c r="D24" s="22">
        <x:v>64.651315789473671</x:v>
      </x:c>
      <x:c r="E24" s="20">
        <x:v>7.7775435768259626E-2</x:v>
      </x:c>
      <x:c r="F24" s="22">
        <x:v>63.623179956548462</x:v>
      </x:c>
      <x:c r="G24" s="22">
        <x:v>63.866228070175431</x:v>
      </x:c>
      <x:c r="H24" s="20">
        <x:v>-0.2430481136269691</x:v>
      </x:c>
      <x:c r="I24" s="20">
        <x:v>1.1059112686934682</x:v>
      </x:c>
      <x:c r="J24" s="21">
        <x:v>0.78508771929823951</x:v>
      </x:c>
      <x:c r="K24" s="15">
        <x:v>18.245454545454528</x:v>
      </x:c>
      <x:c r="N24" s="7">
        <x:v>1.1059112686934682</x:v>
      </x:c>
      <x:c r="P24" s="7">
        <x:v>1</x:v>
      </x:c>
      <x:c r="Q24" s="7">
        <x:v>0</x:v>
      </x:c>
    </x:row>
    <x:row r="25" spans="1:17" s="1" customFormat="1" ht="13" x14ac:dyDescent="0.3">
      <x:c r="A25" s="14" t="s">
        <x:v>16</x:v>
      </x:c>
      <x:c r="B25" s="14">
        <x:v>2024</x:v>
      </x:c>
      <x:c r="C25" s="22">
        <x:v>64.24552406760678</x:v>
      </x:c>
      <x:c r="D25" s="22">
        <x:v>65</x:v>
      </x:c>
      <x:c r="E25" s="20">
        <x:v>-0.75447593239321975</x:v>
      </x:c>
      <x:c r="F25" s="22">
        <x:v>64.477074389243995</x:v>
      </x:c>
      <x:c r="G25" s="22">
        <x:v>64</x:v>
      </x:c>
      <x:c r="H25" s="20">
        <x:v>0.47707438924399526</x:v>
      </x:c>
      <x:c r="I25" s="20">
        <x:v>-0.23155032163721501</x:v>
      </x:c>
      <x:c r="J25" s="21">
        <x:v>1</x:v>
      </x:c>
      <x:c r="K25" s="15">
        <x:v>17.559090909090891</x:v>
      </x:c>
      <x:c r="N25" s="7">
        <x:v>-0.23155032163721501</x:v>
      </x:c>
      <x:c r="P25" s="7">
        <x:v>0</x:v>
      </x:c>
      <x:c r="Q25" s="7">
        <x:v>1</x:v>
      </x:c>
    </x:row>
    <x:row r="26" spans="1:17" s="1" customFormat="1" ht="13" x14ac:dyDescent="0.3">
      <x:c r="A26" s="14" t="s">
        <x:v>26</x:v>
      </x:c>
      <x:c r="B26" s="14">
        <x:v>2024</x:v>
      </x:c>
      <x:c r="C26" s="22">
        <x:v>64.180905473248828</x:v>
      </x:c>
      <x:c r="D26" s="22">
        <x:v>66.166666666666671</x:v>
      </x:c>
      <x:c r="E26" s="20">
        <x:v>-1.9857611934178436</x:v>
      </x:c>
      <x:c r="F26" s="22">
        <x:v>63.910254601688514</x:v>
      </x:c>
      <x:c r="G26" s="22">
        <x:v>66.166666666666671</x:v>
      </x:c>
      <x:c r="H26" s="20">
        <x:v>-2.2564120649781572</x:v>
      </x:c>
      <x:c r="I26" s="20">
        <x:v>0.27065087156031353</x:v>
      </x:c>
      <x:c r="J26" s="21">
        <x:v>0</x:v>
      </x:c>
      <x:c r="K26" s="15">
        <x:v>16.872727272727253</x:v>
      </x:c>
      <x:c r="N26" s="7">
        <x:v>0.27065087156031353</x:v>
      </x:c>
      <x:c r="P26" s="7">
        <x:v>0</x:v>
      </x:c>
      <x:c r="Q26" s="7">
        <x:v>0</x:v>
      </x:c>
    </x:row>
    <x:row r="27" spans="1:17" s="1" customFormat="1" ht="13" x14ac:dyDescent="0.3">
      <x:c r="A27" s="14" t="s">
        <x:v>59</x:v>
      </x:c>
      <x:c r="B27" s="14">
        <x:v>2024</x:v>
      </x:c>
      <x:c r="C27" s="22">
        <x:v>64.177829185081649</x:v>
      </x:c>
      <x:c r="D27" s="22">
        <x:v>64.166666666666671</x:v>
      </x:c>
      <x:c r="E27" s="20">
        <x:v>1.1162518414977285E-2</x:v>
      </x:c>
      <x:c r="F27" s="22">
        <x:v>63.0481303102382</x:v>
      </x:c>
      <x:c r="G27" s="22">
        <x:v>64.166666666666671</x:v>
      </x:c>
      <x:c r="H27" s="20">
        <x:v>-1.1185363564284714</x:v>
      </x:c>
      <x:c r="I27" s="20">
        <x:v>1.1296988748434487</x:v>
      </x:c>
      <x:c r="J27" s="21">
        <x:v>0</x:v>
      </x:c>
      <x:c r="K27" s="15">
        <x:v>16.186363636363616</x:v>
      </x:c>
      <x:c r="N27" s="7">
        <x:v>1.1296988748434487</x:v>
      </x:c>
      <x:c r="P27" s="7">
        <x:v>1</x:v>
      </x:c>
      <x:c r="Q27" s="7">
        <x:v>0</x:v>
      </x:c>
    </x:row>
    <x:row r="28" spans="1:17" s="8" customFormat="1" ht="13" x14ac:dyDescent="0.3">
      <x:c r="A28" s="14" t="s">
        <x:v>15</x:v>
      </x:c>
      <x:c r="B28" s="14">
        <x:v>2024</x:v>
      </x:c>
      <x:c r="C28" s="22">
        <x:v>64.03840440454664</x:v>
      </x:c>
      <x:c r="D28" s="22">
        <x:v>67</x:v>
      </x:c>
      <x:c r="E28" s="20">
        <x:v>-2.9615955954533604</x:v>
      </x:c>
      <x:c r="F28" s="22">
        <x:v>63.436019109206427</x:v>
      </x:c>
      <x:c r="G28" s="22">
        <x:v>67</x:v>
      </x:c>
      <x:c r="H28" s="20">
        <x:v>-3.5639808907935731</x:v>
      </x:c>
      <x:c r="I28" s="20">
        <x:v>0.60238529534021268</x:v>
      </x:c>
      <x:c r="J28" s="21">
        <x:v>0</x:v>
      </x:c>
      <x:c r="K28" s="15">
        <x:v>15.49999999999998</x:v>
      </x:c>
      <x:c r="N28" s="7">
        <x:v>0.60238529534021268</x:v>
      </x:c>
      <x:c r="P28" s="7">
        <x:v>0</x:v>
      </x:c>
      <x:c r="Q28" s="7">
        <x:v>0</x:v>
      </x:c>
    </x:row>
    <x:row r="29" spans="1:17" s="1" customFormat="1" ht="13" x14ac:dyDescent="0.3">
      <x:c r="A29" s="14" t="s">
        <x:v>31</x:v>
      </x:c>
      <x:c r="B29" s="14">
        <x:v>2024</x:v>
      </x:c>
      <x:c r="C29" s="22">
        <x:v>63.983086951108987</x:v>
      </x:c>
      <x:c r="D29" s="22">
        <x:v>64.833333333333329</x:v>
      </x:c>
      <x:c r="E29" s="20">
        <x:v>-0.85024638222434135</x:v>
      </x:c>
      <x:c r="F29" s="22">
        <x:v>62.5845201881869</x:v>
      </x:c>
      <x:c r="G29" s="22">
        <x:v>63.833333333333336</x:v>
      </x:c>
      <x:c r="H29" s="20">
        <x:v>-1.2488131451464355</x:v>
      </x:c>
      <x:c r="I29" s="20">
        <x:v>1.398566762922087</x:v>
      </x:c>
      <x:c r="J29" s="21">
        <x:v>0.99999999999999289</x:v>
      </x:c>
      <x:c r="K29" s="15">
        <x:v>14.813636363636345</x:v>
      </x:c>
      <x:c r="N29" s="7">
        <x:v>1.398566762922087</x:v>
      </x:c>
      <x:c r="P29" s="7">
        <x:v>0</x:v>
      </x:c>
      <x:c r="Q29" s="7">
        <x:v>0</x:v>
      </x:c>
    </x:row>
    <x:row r="30" spans="1:17" s="1" customFormat="1" ht="13" x14ac:dyDescent="0.3">
      <x:c r="A30" s="14" t="s">
        <x:v>22</x:v>
      </x:c>
      <x:c r="B30" s="14">
        <x:v>2024</x:v>
      </x:c>
      <x:c r="C30" s="22">
        <x:v>63.784490915388261</x:v>
      </x:c>
      <x:c r="D30" s="22">
        <x:v>66</x:v>
      </x:c>
      <x:c r="E30" s="20">
        <x:v>-2.2155090846117389</x:v>
      </x:c>
      <x:c r="F30" s="22">
        <x:v>63.09940931652276</x:v>
      </x:c>
      <x:c r="G30" s="22">
        <x:v>66</x:v>
      </x:c>
      <x:c r="H30" s="20">
        <x:v>-2.9005906834772404</x:v>
      </x:c>
      <x:c r="I30" s="20">
        <x:v>0.68508159886550146</x:v>
      </x:c>
      <x:c r="J30" s="21">
        <x:v>0</x:v>
      </x:c>
      <x:c r="K30" s="15">
        <x:v>14.127272727272709</x:v>
      </x:c>
      <x:c r="N30" s="7">
        <x:v>0.68508159886550146</x:v>
      </x:c>
      <x:c r="P30" s="7">
        <x:v>0</x:v>
      </x:c>
      <x:c r="Q30" s="7">
        <x:v>0</x:v>
      </x:c>
    </x:row>
    <x:row r="31" spans="1:17" s="1" customFormat="1" ht="13" x14ac:dyDescent="0.3">
      <x:c r="A31" s="14" t="s">
        <x:v>28</x:v>
      </x:c>
      <x:c r="B31" s="14">
        <x:v>2024</x:v>
      </x:c>
      <x:c r="C31" s="22">
        <x:v>63.694825256283771</x:v>
      </x:c>
      <x:c r="D31" s="22">
        <x:v>65</x:v>
      </x:c>
      <x:c r="E31" s="20">
        <x:v>-1.3051747437162291</x:v>
      </x:c>
      <x:c r="F31" s="22">
        <x:v>61.379986519042617</x:v>
      </x:c>
      <x:c r="G31" s="22">
        <x:v>60</x:v>
      </x:c>
      <x:c r="H31" s="20">
        <x:v>1.3799865190426175</x:v>
      </x:c>
      <x:c r="I31" s="20">
        <x:v>2.3148387372411534</x:v>
      </x:c>
      <x:c r="J31" s="21">
        <x:v>5</x:v>
      </x:c>
      <x:c r="K31" s="15">
        <x:v>13.440909090909074</x:v>
      </x:c>
      <x:c r="N31" s="7">
        <x:v>2.3148387372411534</x:v>
      </x:c>
      <x:c r="P31" s="7">
        <x:v>0</x:v>
      </x:c>
      <x:c r="Q31" s="7">
        <x:v>1</x:v>
      </x:c>
    </x:row>
    <x:row r="32" spans="1:17" s="1" customFormat="1" ht="13" x14ac:dyDescent="0.3">
      <x:c r="A32" s="14" t="s">
        <x:v>34</x:v>
      </x:c>
      <x:c r="B32" s="14">
        <x:v>2024</x:v>
      </x:c>
      <x:c r="C32" s="22">
        <x:v>63.673955895888277</x:v>
      </x:c>
      <x:c r="D32" s="22">
        <x:v>62</x:v>
      </x:c>
      <x:c r="E32" s="20">
        <x:v>1.6739558958882768</x:v>
      </x:c>
      <x:c r="F32" s="22">
        <x:v>61.873342107176413</x:v>
      </x:c>
      <x:c r="G32" s="22">
        <x:v>62</x:v>
      </x:c>
      <x:c r="H32" s="20">
        <x:v>-0.1266578928235873</x:v>
      </x:c>
      <x:c r="I32" s="20">
        <x:v>1.8006137887118641</x:v>
      </x:c>
      <x:c r="J32" s="21">
        <x:v>0</x:v>
      </x:c>
      <x:c r="K32" s="15">
        <x:v>12.754545454545438</x:v>
      </x:c>
      <x:c r="N32" s="7">
        <x:v>1.8006137887118641</x:v>
      </x:c>
      <x:c r="P32" s="7">
        <x:v>1</x:v>
      </x:c>
      <x:c r="Q32" s="7">
        <x:v>0</x:v>
      </x:c>
    </x:row>
    <x:row r="33" spans="1:18" s="1" customFormat="1" ht="13" x14ac:dyDescent="0.3">
      <x:c r="A33" s="14" t="s">
        <x:v>24</x:v>
      </x:c>
      <x:c r="B33" s="14">
        <x:v>2024</x:v>
      </x:c>
      <x:c r="C33" s="22">
        <x:v>63.620244637704211</x:v>
      </x:c>
      <x:c r="D33" s="22">
        <x:v>65</x:v>
      </x:c>
      <x:c r="E33" s="20">
        <x:v>-1.3797553622957892</x:v>
      </x:c>
      <x:c r="F33" s="22">
        <x:v>61.960217117749515</x:v>
      </x:c>
      <x:c r="G33" s="22">
        <x:v>62</x:v>
      </x:c>
      <x:c r="H33" s="20">
        <x:v>-3.9782882250484874E-2</x:v>
      </x:c>
      <x:c r="I33" s="20">
        <x:v>1.6600275199546957</x:v>
      </x:c>
      <x:c r="J33" s="21">
        <x:v>3</x:v>
      </x:c>
      <x:c r="K33" s="15">
        <x:v>12.068181818181802</x:v>
      </x:c>
      <x:c r="N33" s="7">
        <x:v>1.6600275199546957</x:v>
      </x:c>
      <x:c r="P33" s="7">
        <x:v>0</x:v>
      </x:c>
      <x:c r="Q33" s="7">
        <x:v>0</x:v>
      </x:c>
    </x:row>
    <x:row r="34" spans="1:18" s="1" customFormat="1" ht="13" x14ac:dyDescent="0.3">
      <x:c r="A34" s="14" t="s">
        <x:v>33</x:v>
      </x:c>
      <x:c r="B34" s="14">
        <x:v>2024</x:v>
      </x:c>
      <x:c r="C34" s="22">
        <x:v>63.61542100944127</x:v>
      </x:c>
      <x:c r="D34" s="22">
        <x:v>64.75</x:v>
      </x:c>
      <x:c r="E34" s="20">
        <x:v>-1.1345789905587296</x:v>
      </x:c>
      <x:c r="F34" s="22">
        <x:v>63.400053940463124</x:v>
      </x:c>
      <x:c r="G34" s="22">
        <x:v>64.75</x:v>
      </x:c>
      <x:c r="H34" s="20">
        <x:v>-1.349946059536876</x:v>
      </x:c>
      <x:c r="I34" s="20">
        <x:v>0.21536706897814639</x:v>
      </x:c>
      <x:c r="J34" s="21">
        <x:v>0</x:v>
      </x:c>
      <x:c r="K34" s="15">
        <x:v>11.381818181818167</x:v>
      </x:c>
      <x:c r="N34" s="7">
        <x:v>0.21536706897814639</x:v>
      </x:c>
      <x:c r="P34" s="7">
        <x:v>0</x:v>
      </x:c>
      <x:c r="Q34" s="7">
        <x:v>0</x:v>
      </x:c>
    </x:row>
    <x:row r="35" spans="1:18" s="1" customFormat="1" ht="13" x14ac:dyDescent="0.3">
      <x:c r="A35" s="14" t="s">
        <x:v>27</x:v>
      </x:c>
      <x:c r="B35" s="14">
        <x:v>2024</x:v>
      </x:c>
      <x:c r="C35" s="22">
        <x:v>63.529188156961439</x:v>
      </x:c>
      <x:c r="D35" s="22">
        <x:v>65</x:v>
      </x:c>
      <x:c r="E35" s="20">
        <x:v>-1.4708118430385611</x:v>
      </x:c>
      <x:c r="F35" s="22">
        <x:v>62.870562966140447</x:v>
      </x:c>
      <x:c r="G35" s="22">
        <x:v>65</x:v>
      </x:c>
      <x:c r="H35" s="20">
        <x:v>-2.1294370338595527</x:v>
      </x:c>
      <x:c r="I35" s="20">
        <x:v>0.65862519082099169</x:v>
      </x:c>
      <x:c r="J35" s="21">
        <x:v>0</x:v>
      </x:c>
      <x:c r="K35" s="15">
        <x:v>10.695454545454531</x:v>
      </x:c>
      <x:c r="N35" s="7">
        <x:v>0.65862519082099169</x:v>
      </x:c>
      <x:c r="P35" s="7">
        <x:v>0</x:v>
      </x:c>
      <x:c r="Q35" s="7">
        <x:v>0</x:v>
      </x:c>
    </x:row>
    <x:row r="36" spans="1:18" s="1" customFormat="1" ht="13" x14ac:dyDescent="0.3">
      <x:c r="A36" s="14" t="s">
        <x:v>39</x:v>
      </x:c>
      <x:c r="B36" s="14">
        <x:v>2024</x:v>
      </x:c>
      <x:c r="C36" s="22">
        <x:v>63.467044654069809</x:v>
      </x:c>
      <x:c r="D36" s="22">
        <x:v>64.666666666666671</x:v>
      </x:c>
      <x:c r="E36" s="20">
        <x:v>-1.199622012596862</x:v>
      </x:c>
      <x:c r="F36" s="22">
        <x:v>63.545236558459479</x:v>
      </x:c>
      <x:c r="G36" s="22">
        <x:v>64.333333333333329</x:v>
      </x:c>
      <x:c r="H36" s="20">
        <x:v>-0.78809677487384988</x:v>
      </x:c>
      <x:c r="I36" s="20">
        <x:v>-7.8191904389669276E-2</x:v>
      </x:c>
      <x:c r="J36" s="21">
        <x:v>0.33333333333334281</x:v>
      </x:c>
      <x:c r="K36" s="15">
        <x:v>10.009090909090895</x:v>
      </x:c>
      <x:c r="N36" s="7">
        <x:v>-7.8191904389669276E-2</x:v>
      </x:c>
      <x:c r="P36" s="7">
        <x:v>0</x:v>
      </x:c>
      <x:c r="Q36" s="7">
        <x:v>0</x:v>
      </x:c>
    </x:row>
    <x:row r="37" spans="1:18" s="1" customFormat="1" ht="13" x14ac:dyDescent="0.3">
      <x:c r="A37" s="14" t="s">
        <x:v>32</x:v>
      </x:c>
      <x:c r="B37" s="14">
        <x:v>2024</x:v>
      </x:c>
      <x:c r="C37" s="22">
        <x:v>62.727647662061791</x:v>
      </x:c>
      <x:c r="D37" s="22">
        <x:v>65</x:v>
      </x:c>
      <x:c r="E37" s="20">
        <x:v>-2.2723523379382087</x:v>
      </x:c>
      <x:c r="F37" s="22">
        <x:v>61.179216283662072</x:v>
      </x:c>
      <x:c r="G37" s="22">
        <x:v>60.5</x:v>
      </x:c>
      <x:c r="H37" s="20">
        <x:v>0.67921628366207187</x:v>
      </x:c>
      <x:c r="I37" s="20">
        <x:v>1.5484313783997194</x:v>
      </x:c>
      <x:c r="J37" s="21">
        <x:v>4.5</x:v>
      </x:c>
      <x:c r="K37" s="15">
        <x:v>9.3227272727272599</x:v>
      </x:c>
      <x:c r="N37" s="7">
        <x:v>1.5484313783997194</x:v>
      </x:c>
      <x:c r="P37" s="7">
        <x:v>0</x:v>
      </x:c>
      <x:c r="Q37" s="7">
        <x:v>1</x:v>
      </x:c>
    </x:row>
    <x:row r="38" spans="1:18" s="1" customFormat="1" ht="13" x14ac:dyDescent="0.3">
      <x:c r="A38" s="14" t="s">
        <x:v>37</x:v>
      </x:c>
      <x:c r="B38" s="14">
        <x:v>2024</x:v>
      </x:c>
      <x:c r="C38" s="22">
        <x:v>62.711230905865399</x:v>
      </x:c>
      <x:c r="D38" s="22">
        <x:v>63.166666666666664</x:v>
      </x:c>
      <x:c r="E38" s="20">
        <x:v>-0.45543576080126513</x:v>
      </x:c>
      <x:c r="F38" s="22">
        <x:v>61.22184201522488</x:v>
      </x:c>
      <x:c r="G38" s="22">
        <x:v>63.166666666666664</x:v>
      </x:c>
      <x:c r="H38" s="20">
        <x:v>-1.9448246514417846</x:v>
      </x:c>
      <x:c r="I38" s="20">
        <x:v>1.4893888906405195</x:v>
      </x:c>
      <x:c r="J38" s="21">
        <x:v>0</x:v>
      </x:c>
      <x:c r="K38" s="15">
        <x:v>8.6363636363636243</x:v>
      </x:c>
      <x:c r="N38" s="7">
        <x:v>1.4893888906405195</x:v>
      </x:c>
      <x:c r="P38" s="7">
        <x:v>0</x:v>
      </x:c>
      <x:c r="Q38" s="7">
        <x:v>0</x:v>
      </x:c>
    </x:row>
    <x:row r="39" spans="1:18" s="1" customFormat="1" ht="13" x14ac:dyDescent="0.3">
      <x:c r="A39" s="14" t="s">
        <x:v>35</x:v>
      </x:c>
      <x:c r="B39" s="14">
        <x:v>2024</x:v>
      </x:c>
      <x:c r="C39" s="22">
        <x:v>62.42916811934311</x:v>
      </x:c>
      <x:c r="D39" s="22">
        <x:v>65</x:v>
      </x:c>
      <x:c r="E39" s="20">
        <x:v>-2.5708318806568897</x:v>
      </x:c>
      <x:c r="F39" s="22">
        <x:v>60.595909671285796</x:v>
      </x:c>
      <x:c r="G39" s="22">
        <x:v>65</x:v>
      </x:c>
      <x:c r="H39" s="20">
        <x:v>-4.4040903287142044</x:v>
      </x:c>
      <x:c r="I39" s="20">
        <x:v>1.8332584480573146</x:v>
      </x:c>
      <x:c r="J39" s="21">
        <x:v>0</x:v>
      </x:c>
      <x:c r="K39" s="15">
        <x:v>7.9499999999999877</x:v>
      </x:c>
      <x:c r="N39" s="7">
        <x:v>1.8332584480573146</x:v>
      </x:c>
      <x:c r="P39" s="7">
        <x:v>0</x:v>
      </x:c>
      <x:c r="Q39" s="7">
        <x:v>0</x:v>
      </x:c>
    </x:row>
    <x:row r="40" spans="1:18" s="1" customFormat="1" ht="13" x14ac:dyDescent="0.3">
      <x:c r="A40" s="14" t="s">
        <x:v>30</x:v>
      </x:c>
      <x:c r="B40" s="14">
        <x:v>2024</x:v>
      </x:c>
      <x:c r="C40" s="22">
        <x:v>62.388615795906468</x:v>
      </x:c>
      <x:c r="D40" s="22">
        <x:v>65</x:v>
      </x:c>
      <x:c r="E40" s="20">
        <x:v>-2.6113842040935324</x:v>
      </x:c>
      <x:c r="F40" s="22">
        <x:v>63.007021109367898</x:v>
      </x:c>
      <x:c r="G40" s="22">
        <x:v>65</x:v>
      </x:c>
      <x:c r="H40" s="20">
        <x:v>-1.9929788906321022</x:v>
      </x:c>
      <x:c r="I40" s="20">
        <x:v>-0.61840531346143024</x:v>
      </x:c>
      <x:c r="J40" s="21">
        <x:v>0</x:v>
      </x:c>
      <x:c r="K40" s="15">
        <x:v>7.2636363636363512</x:v>
      </x:c>
      <x:c r="N40" s="7">
        <x:v>-0.61840531346143024</x:v>
      </x:c>
      <x:c r="P40" s="7">
        <x:v>0</x:v>
      </x:c>
      <x:c r="Q40" s="7">
        <x:v>0</x:v>
      </x:c>
    </x:row>
    <x:row r="41" spans="1:18" s="1" customFormat="1" ht="13" x14ac:dyDescent="0.3">
      <x:c r="A41" s="14" t="s">
        <x:v>38</x:v>
      </x:c>
      <x:c r="B41" s="14">
        <x:v>2024</x:v>
      </x:c>
      <x:c r="C41" s="22">
        <x:v>61.931332850791769</x:v>
      </x:c>
      <x:c r="D41" s="22">
        <x:v>64.25</x:v>
      </x:c>
      <x:c r="E41" s="20">
        <x:v>-2.3186671492082311</x:v>
      </x:c>
      <x:c r="F41" s="22">
        <x:v>62.422629722064059</x:v>
      </x:c>
      <x:c r="G41" s="22">
        <x:v>64.25</x:v>
      </x:c>
      <x:c r="H41" s="20">
        <x:v>-1.8273702779359411</x:v>
      </x:c>
      <x:c r="I41" s="20">
        <x:v>-0.49129687127229005</x:v>
      </x:c>
      <x:c r="J41" s="21">
        <x:v>0</x:v>
      </x:c>
      <x:c r="K41" s="15">
        <x:v>6.5772727272727147</x:v>
      </x:c>
      <x:c r="N41" s="7">
        <x:v>-0.49129687127229005</x:v>
      </x:c>
      <x:c r="P41" s="7">
        <x:v>0</x:v>
      </x:c>
      <x:c r="Q41" s="7">
        <x:v>0</x:v>
      </x:c>
    </x:row>
    <x:row r="42" spans="1:18" s="1" customFormat="1" ht="13" x14ac:dyDescent="0.3">
      <x:c r="A42" s="14" t="s">
        <x:v>29</x:v>
      </x:c>
      <x:c r="B42" s="14">
        <x:v>2024</x:v>
      </x:c>
      <x:c r="C42" s="22">
        <x:v>60.777738528023249</x:v>
      </x:c>
      <x:c r="D42" s="22">
        <x:v>62</x:v>
      </x:c>
      <x:c r="E42" s="20">
        <x:v>-1.2222614719767506</x:v>
      </x:c>
      <x:c r="F42" s="22">
        <x:v>59.498068740688325</x:v>
      </x:c>
      <x:c r="G42" s="22">
        <x:v>62</x:v>
      </x:c>
      <x:c r="H42" s="20">
        <x:v>-2.5019312593116751</x:v>
      </x:c>
      <x:c r="I42" s="20">
        <x:v>1.2796697873349245</x:v>
      </x:c>
      <x:c r="J42" s="21">
        <x:v>0</x:v>
      </x:c>
      <x:c r="K42" s="15">
        <x:v>5.8909090909090782</x:v>
      </x:c>
      <x:c r="N42" s="7">
        <x:v>1.2796697873349245</x:v>
      </x:c>
      <x:c r="P42" s="7">
        <x:v>0</x:v>
      </x:c>
      <x:c r="Q42" s="7">
        <x:v>0</x:v>
      </x:c>
    </x:row>
    <x:row r="43" spans="1:18" s="1" customFormat="1" ht="13" x14ac:dyDescent="0.3">
      <x:c r="A43" s="14" t="s">
        <x:v>58</x:v>
      </x:c>
      <x:c r="B43" s="14">
        <x:v>2024</x:v>
      </x:c>
      <x:c r="C43" s="22">
        <x:v>60.774258883981361</x:v>
      </x:c>
      <x:c r="D43" s="22">
        <x:v>52</x:v>
      </x:c>
      <x:c r="E43" s="20">
        <x:v>8.7742588839813607</x:v>
      </x:c>
      <x:c r="F43" s="22">
        <x:v>60.467834134806587</x:v>
      </x:c>
      <x:c r="G43" s="22">
        <x:v>49</x:v>
      </x:c>
      <x:c r="H43" s="20">
        <x:v>11.467834134806587</x:v>
      </x:c>
      <x:c r="I43" s="20">
        <x:v>0.30642474917477358</x:v>
      </x:c>
      <x:c r="J43" s="21">
        <x:v>3</x:v>
      </x:c>
      <x:c r="K43" s="15">
        <x:v>5.2045454545454417</x:v>
      </x:c>
      <x:c r="N43" s="7">
        <x:v>0.30642474917477358</x:v>
      </x:c>
      <x:c r="P43" s="7">
        <x:v>1</x:v>
      </x:c>
      <x:c r="Q43" s="7">
        <x:v>1</x:v>
      </x:c>
    </x:row>
    <x:row r="44" spans="1:18" s="1" customFormat="1" ht="13" x14ac:dyDescent="0.3">
      <x:c r="A44" s="14" t="s">
        <x:v>36</x:v>
      </x:c>
      <x:c r="B44" s="14">
        <x:v>2024</x:v>
      </x:c>
      <x:c r="C44" s="22">
        <x:v>60.074296579212451</x:v>
      </x:c>
      <x:c r="D44" s="22">
        <x:v>62</x:v>
      </x:c>
      <x:c r="E44" s="20">
        <x:v>-1.9257034207875492</x:v>
      </x:c>
      <x:c r="F44" s="22">
        <x:v>60.254948873805006</x:v>
      </x:c>
      <x:c r="G44" s="22">
        <x:v>62</x:v>
      </x:c>
      <x:c r="H44" s="20">
        <x:v>-1.7450511261949941</x:v>
      </x:c>
      <x:c r="I44" s="20">
        <x:v>-0.18065229459255505</x:v>
      </x:c>
      <x:c r="J44" s="21">
        <x:v>0</x:v>
      </x:c>
      <x:c r="K44" s="15">
        <x:v>4.5181818181818052</x:v>
      </x:c>
      <x:c r="N44" s="7">
        <x:v>-0.18065229459255505</x:v>
      </x:c>
      <x:c r="P44" s="7">
        <x:v>0</x:v>
      </x:c>
      <x:c r="Q44" s="7">
        <x:v>0</x:v>
      </x:c>
    </x:row>
    <x:row r="45" spans="1:18" ht="13" x14ac:dyDescent="0.3">
      <x:c r="A45" s="14"/>
      <x:c r="B45" s="12"/>
      <x:c r="C45" s="12"/>
      <x:c r="D45" s="10"/>
      <x:c r="E45" s="20"/>
      <x:c r="F45" s="12"/>
      <x:c r="G45" s="10"/>
      <x:c r="H45" s="13"/>
      <x:c r="I45" s="12"/>
      <x:c r="J45" s="12"/>
      <x:c r="K45" s="15">
        <x:v>3.8318181818181687</x:v>
      </x:c>
      <x:c r="L45" s="12"/>
    </x:row>
    <x:row r="46" spans="1:18" ht="13" x14ac:dyDescent="0.3">
      <x:c r="A46" s="14" t="s">
        <x:v>49</x:v>
      </x:c>
      <x:c r="B46" s="14">
        <x:v>2023</x:v>
      </x:c>
      <x:c r="C46" s="22">
        <x:v>64.630505510139969</x:v>
      </x:c>
      <x:c r="D46" s="22">
        <x:v>65</x:v>
      </x:c>
      <x:c r="E46" s="20">
        <x:v>-0.36949448986003119</x:v>
      </x:c>
      <x:c r="F46" s="22">
        <x:v>63.756823980041126</x:v>
      </x:c>
      <x:c r="G46" s="22">
        <x:v>60</x:v>
      </x:c>
      <x:c r="H46" s="20">
        <x:v>3.7568239800411263</x:v>
      </x:c>
      <x:c r="I46" s="20">
        <x:v>0.87368153009884253</x:v>
      </x:c>
      <x:c r="J46" s="12"/>
      <x:c r="K46" s="15">
        <x:v>3.1454545454545322</x:v>
      </x:c>
      <x:c r="L46" s="12"/>
      <x:c r="P46" s="10">
        <x:v>13</x:v>
      </x:c>
      <x:c r="Q46" s="10">
        <x:v>10</x:v>
      </x:c>
      <x:c r="R46" s="10"/>
    </x:row>
    <x:row r="47" spans="1:18" ht="13" x14ac:dyDescent="0.3">
      <x:c r="A47" s="14" t="s">
        <x:v>50</x:v>
      </x:c>
      <x:c r="B47" s="14">
        <x:v>2024</x:v>
      </x:c>
      <x:c r="C47" s="22">
        <x:v>56.133140617772263</x:v>
      </x:c>
      <x:c r="D47" s="22">
        <x:v>58</x:v>
      </x:c>
      <x:c r="E47" s="20">
        <x:v>-1.8668593822277373</x:v>
      </x:c>
      <x:c r="F47" s="22">
        <x:v>54.758860407747683</x:v>
      </x:c>
      <x:c r="G47" s="22">
        <x:v>58</x:v>
      </x:c>
      <x:c r="H47" s="20">
        <x:v>-3.241139592252317</x:v>
      </x:c>
      <x:c r="I47" s="20">
        <x:v>1.3742802100245797</x:v>
      </x:c>
      <x:c r="J47" s="12"/>
      <x:c r="K47" s="15">
        <x:v>2.4590909090908957</x:v>
      </x:c>
      <x:c r="L47" s="12"/>
    </x:row>
    <x:row r="48" spans="1:18" ht="13" x14ac:dyDescent="0.3">
      <x:c r="A48" s="14" t="s">
        <x:v>48</x:v>
      </x:c>
      <x:c r="B48" s="14">
        <x:v>2024</x:v>
      </x:c>
      <x:c r="C48" s="22">
        <x:v>55.829861250758292</x:v>
      </x:c>
      <x:c r="D48" s="22">
        <x:v>65</x:v>
      </x:c>
      <x:c r="E48" s="20">
        <x:v>-9.1701387492417084</x:v>
      </x:c>
      <x:c r="F48" s="22">
        <x:v>53.890886054463202</x:v>
      </x:c>
      <x:c r="G48" s="22">
        <x:v>62</x:v>
      </x:c>
      <x:c r="H48" s="20">
        <x:v>-8.109113945536798</x:v>
      </x:c>
      <x:c r="I48" s="20">
        <x:v>1.9389751962950896</x:v>
      </x:c>
      <x:c r="J48" s="12"/>
      <x:c r="K48" s="15">
        <x:v>1.7727272727272592</x:v>
      </x:c>
      <x:c r="L48" s="12"/>
    </x:row>
    <x:row r="49" spans="1:12" ht="13" x14ac:dyDescent="0.3">
      <x:c r="A49" s="14" t="s">
        <x:v>51</x:v>
      </x:c>
      <x:c r="B49" s="14">
        <x:v>2024</x:v>
      </x:c>
      <x:c r="C49" s="22">
        <x:v>54.080346617949772</x:v>
      </x:c>
      <x:c r="D49" s="22">
        <x:v>60</x:v>
      </x:c>
      <x:c r="E49" s="20">
        <x:v>-5.9196533820502282</x:v>
      </x:c>
      <x:c r="F49" s="22">
        <x:v>52.972269669868673</x:v>
      </x:c>
      <x:c r="G49" s="22">
        <x:v>60</x:v>
      </x:c>
      <x:c r="H49" s="20">
        <x:v>-7.0277303301313268</x:v>
      </x:c>
      <x:c r="I49" s="20">
        <x:v>1.1080769480810986</x:v>
      </x:c>
      <x:c r="J49" s="12"/>
      <x:c r="K49" s="15">
        <x:v>1.0863636363636227</x:v>
      </x:c>
      <x:c r="L49" s="12"/>
    </x:row>
    <x:row r="50" spans="1:12" ht="13" x14ac:dyDescent="0.3">
      <x:c r="A50" s="14" t="s">
        <x:v>57</x:v>
      </x:c>
      <x:c r="B50" s="14">
        <x:v>2020</x:v>
      </x:c>
      <x:c r="C50" s="22">
        <x:v>63.71744177421678</x:v>
      </x:c>
      <x:c r="D50" s="22">
        <x:v>64.728395061728392</x:v>
      </x:c>
      <x:c r="E50" s="20">
        <x:v>-1.0109532875116116</x:v>
      </x:c>
      <x:c r="F50" s="22">
        <x:v>62.816637115300423</x:v>
      </x:c>
      <x:c r="G50" s="22">
        <x:v>63.966049382716058</x:v>
      </x:c>
      <x:c r="H50" s="20">
        <x:v>-1.1494122674156344</x:v>
      </x:c>
      <x:c r="I50" s="20">
        <x:v>0.90080465891635697</x:v>
      </x:c>
      <x:c r="J50" s="12"/>
      <x:c r="K50" s="15">
        <x:v>0.4</x:v>
      </x:c>
      <x:c r="L50" s="12"/>
    </x:row>
    <x:row r="51" spans="1:12" ht="13" x14ac:dyDescent="0.3">
      <x:c r="A51" s="23"/>
      <x:c r="B51" s="23"/>
      <x:c r="C51" s="24"/>
      <x:c r="D51" s="24"/>
      <x:c r="E51" s="20"/>
      <x:c r="F51" s="24"/>
      <x:c r="G51" s="24"/>
      <x:c r="H51" s="13"/>
      <x:c r="I51" s="12"/>
      <x:c r="J51" s="12"/>
      <x:c r="K51" s="10"/>
      <x:c r="L51" s="12"/>
    </x:row>
    <x:row r="52" spans="1:12" ht="13" x14ac:dyDescent="0.3">
      <x:c r="A52" s="14" t="s">
        <x:v>52</x:v>
      </x:c>
      <x:c r="B52" s="14">
        <x:v>2024</x:v>
      </x:c>
      <x:c r="C52" s="22">
        <x:v>64.801555862351393</x:v>
      </x:c>
      <x:c r="D52" s="22">
        <x:v>64.583333333333329</x:v>
      </x:c>
      <x:c r="E52" s="20">
        <x:v>0.21822252901806394</x:v>
      </x:c>
      <x:c r="F52" s="22">
        <x:v>62.717562095308224</x:v>
      </x:c>
      <x:c r="G52" s="22">
        <x:v>62.166666666666664</x:v>
      </x:c>
      <x:c r="H52" s="20">
        <x:v>0.55089542864156016</x:v>
      </x:c>
      <x:c r="I52" s="12"/>
      <x:c r="J52" s="12"/>
      <x:c r="K52" s="10"/>
      <x:c r="L52" s="12"/>
    </x:row>
    <x:row r="53" spans="1:12" ht="13" x14ac:dyDescent="0.3">
      <x:c r="A53" s="14" t="s">
        <x:v>53</x:v>
      </x:c>
      <x:c r="B53" s="14">
        <x:v>2024</x:v>
      </x:c>
      <x:c r="C53" s="22">
        <x:v>62.637450730371853</x:v>
      </x:c>
      <x:c r="D53" s="22">
        <x:v>65</x:v>
      </x:c>
      <x:c r="E53" s="20">
        <x:v>-2.3625492696281469</x:v>
      </x:c>
      <x:c r="F53" s="22">
        <x:v>62.890264388253705</x:v>
      </x:c>
      <x:c r="G53" s="22">
        <x:v>63.5</x:v>
      </x:c>
      <x:c r="H53" s="20">
        <x:v>-0.60973561174629509</x:v>
      </x:c>
      <x:c r="I53" s="12"/>
      <x:c r="J53" s="12"/>
      <x:c r="K53" s="10"/>
      <x:c r="L53" s="12"/>
    </x:row>
    <x:row r="54" spans="1:12" ht="13" x14ac:dyDescent="0.3">
      <x:c r="A54" s="14" t="s">
        <x:v>54</x:v>
      </x:c>
      <x:c r="B54" s="14">
        <x:v>2024</x:v>
      </x:c>
      <x:c r="C54" s="22">
        <x:v>65.55386134486146</x:v>
      </x:c>
      <x:c r="D54" s="22">
        <x:v>65</x:v>
      </x:c>
      <x:c r="E54" s="20">
        <x:v>0.55386134486145977</x:v>
      </x:c>
      <x:c r="F54" s="22">
        <x:v>63.147299191330049</x:v>
      </x:c>
      <x:c r="G54" s="22">
        <x:v>65</x:v>
      </x:c>
      <x:c r="H54" s="20">
        <x:v>-1.852700808669951</x:v>
      </x:c>
      <x:c r="I54" s="12"/>
      <x:c r="J54" s="12"/>
      <x:c r="K54" s="10"/>
      <x:c r="L54" s="12"/>
    </x:row>
    <x:row r="55" spans="1:12" ht="13" x14ac:dyDescent="0.3">
      <x:c r="A55" s="14" t="s">
        <x:v>55</x:v>
      </x:c>
      <x:c r="B55" s="14">
        <x:v>2024</x:v>
      </x:c>
      <x:c r="C55" s="22">
        <x:v>62.463935639313704</x:v>
      </x:c>
      <x:c r="D55" s="22">
        <x:v>64</x:v>
      </x:c>
      <x:c r="E55" s="20">
        <x:v>-1.5360643606862965</x:v>
      </x:c>
      <x:c r="F55" s="22">
        <x:v>62.453860320458581</x:v>
      </x:c>
      <x:c r="G55" s="22">
        <x:v>64</x:v>
      </x:c>
      <x:c r="H55" s="20">
        <x:v>-1.5461396795414188</x:v>
      </x:c>
      <x:c r="I55" s="12"/>
      <x:c r="J55" s="12"/>
      <x:c r="K55" s="10"/>
      <x:c r="L55" s="12"/>
    </x:row>
    <x:row r="56" spans="1:12" ht="13" x14ac:dyDescent="0.3">
      <x:c r="A56" s="14" t="s">
        <x:v>56</x:v>
      </x:c>
      <x:c r="B56" s="14">
        <x:v>2024</x:v>
      </x:c>
      <x:c r="C56" s="22">
        <x:v>63.508134200659661</x:v>
      </x:c>
      <x:c r="D56" s="22">
        <x:v>65</x:v>
      </x:c>
      <x:c r="E56" s="20">
        <x:v>-1.4918657993403386</x:v>
      </x:c>
      <x:c r="F56" s="22">
        <x:v>63.286653901831357</x:v>
      </x:c>
      <x:c r="G56" s="22">
        <x:v>62.166666666666664</x:v>
      </x:c>
      <x:c r="H56" s="20">
        <x:v>1.1199872351646931</x:v>
      </x:c>
      <x:c r="I56" s="12"/>
      <x:c r="J56" s="12"/>
      <x:c r="K56" s="10"/>
      <x:c r="L56" s="12"/>
    </x:row>
    <x:row r="57" spans="1:12" ht="13" x14ac:dyDescent="0.3">
      <x:c r="A57" s="11"/>
      <x:c r="B57" s="12"/>
      <x:c r="C57" s="12"/>
      <x:c r="D57" s="10"/>
      <x:c r="E57" s="20"/>
      <x:c r="F57" s="12"/>
      <x:c r="G57" s="10"/>
      <x:c r="H57" s="13"/>
      <x:c r="I57" s="12"/>
      <x:c r="J57" s="12"/>
      <x:c r="K57" s="10"/>
      <x:c r="L57" s="12"/>
    </x:row>
    <x:row r="58" spans="1:12" x14ac:dyDescent="0.25">
      <x:c r="A58" s="11"/>
      <x:c r="B58" s="12"/>
      <x:c r="C58" s="12"/>
      <x:c r="D58" s="10"/>
      <x:c r="E58" s="12"/>
      <x:c r="F58" s="12"/>
      <x:c r="G58" s="10"/>
      <x:c r="H58" s="13"/>
      <x:c r="I58" s="12"/>
      <x:c r="J58" s="12"/>
      <x:c r="K58" s="10"/>
      <x:c r="L58" s="12"/>
    </x:row>
    <x:row r="59" spans="1:12" x14ac:dyDescent="0.25">
      <x:c r="A59" s="11"/>
      <x:c r="B59" s="12"/>
      <x:c r="C59" s="12"/>
      <x:c r="D59" s="10"/>
      <x:c r="E59" s="12"/>
      <x:c r="F59" s="12"/>
      <x:c r="G59" s="10"/>
      <x:c r="H59" s="13"/>
      <x:c r="I59" s="12"/>
      <x:c r="J59" s="12"/>
      <x:c r="K59" s="10"/>
      <x:c r="L59" s="12"/>
    </x:row>
    <x:row r="60" spans="1:12" x14ac:dyDescent="0.25">
      <x:c r="A60" s="11"/>
      <x:c r="B60" s="12"/>
      <x:c r="C60" s="12"/>
      <x:c r="D60" s="10"/>
      <x:c r="E60" s="12"/>
      <x:c r="F60" s="12"/>
      <x:c r="G60" s="10"/>
      <x:c r="H60" s="13"/>
      <x:c r="I60" s="12"/>
      <x:c r="J60" s="12"/>
      <x:c r="K60" s="10"/>
      <x:c r="L60" s="12"/>
    </x:row>
    <x:row r="61" spans="1:12" x14ac:dyDescent="0.25">
      <x:c r="A61" s="11"/>
      <x:c r="B61" s="12"/>
      <x:c r="C61" s="12"/>
      <x:c r="D61" s="10"/>
      <x:c r="E61" s="12"/>
      <x:c r="F61" s="12"/>
      <x:c r="G61" s="10"/>
      <x:c r="H61" s="13"/>
      <x:c r="I61" s="12"/>
      <x:c r="J61" s="12"/>
      <x:c r="K61" s="10"/>
      <x:c r="L61" s="12"/>
    </x:row>
    <x:row r="62" spans="1:12" x14ac:dyDescent="0.25">
      <x:c r="A62" s="11"/>
      <x:c r="B62" s="12"/>
      <x:c r="C62" s="12"/>
      <x:c r="D62" s="10"/>
      <x:c r="E62" s="12"/>
      <x:c r="F62" s="12"/>
      <x:c r="G62" s="10"/>
      <x:c r="H62" s="13"/>
      <x:c r="I62" s="12"/>
      <x:c r="J62" s="12"/>
      <x:c r="K62" s="10"/>
      <x:c r="L62" s="12"/>
    </x:row>
    <x:row r="63" spans="1:12" x14ac:dyDescent="0.25">
      <x:c r="A63" s="11"/>
      <x:c r="B63" s="12"/>
      <x:c r="C63" s="12"/>
      <x:c r="D63" s="10"/>
      <x:c r="E63" s="12"/>
      <x:c r="F63" s="12"/>
      <x:c r="G63" s="10"/>
      <x:c r="H63" s="13"/>
      <x:c r="I63" s="12"/>
      <x:c r="J63" s="12"/>
      <x:c r="K63" s="10"/>
      <x:c r="L63" s="12"/>
    </x:row>
    <x:row r="64" spans="1:12" x14ac:dyDescent="0.25">
      <x:c r="A64" s="11"/>
      <x:c r="B64" s="12"/>
      <x:c r="C64" s="12"/>
      <x:c r="D64" s="10"/>
      <x:c r="E64" s="12"/>
      <x:c r="F64" s="12"/>
      <x:c r="G64" s="10"/>
      <x:c r="H64" s="13"/>
      <x:c r="I64" s="12"/>
      <x:c r="J64" s="12"/>
      <x:c r="K64" s="10"/>
      <x:c r="L64" s="12"/>
    </x:row>
    <x:row r="65" spans="1:12" x14ac:dyDescent="0.25">
      <x:c r="A65" s="11"/>
      <x:c r="B65" s="12"/>
      <x:c r="C65" s="12"/>
      <x:c r="D65" s="10"/>
      <x:c r="E65" s="12"/>
      <x:c r="F65" s="12"/>
      <x:c r="G65" s="10"/>
      <x:c r="H65" s="13"/>
      <x:c r="I65" s="12"/>
      <x:c r="J65" s="12"/>
      <x:c r="K65" s="10"/>
      <x:c r="L65" s="12"/>
    </x:row>
    <x:row r="66" spans="1:12" x14ac:dyDescent="0.25">
      <x:c r="A66" s="11"/>
      <x:c r="B66" s="12"/>
      <x:c r="C66" s="12"/>
      <x:c r="D66" s="10"/>
      <x:c r="E66" s="12"/>
      <x:c r="F66" s="12"/>
      <x:c r="G66" s="10"/>
      <x:c r="H66" s="13"/>
      <x:c r="I66" s="12"/>
      <x:c r="J66" s="12"/>
      <x:c r="K66" s="10"/>
      <x:c r="L66" s="12"/>
    </x:row>
    <x:row r="67" spans="1:12" x14ac:dyDescent="0.25">
      <x:c r="A67" s="11"/>
      <x:c r="B67" s="12"/>
      <x:c r="C67" s="12"/>
      <x:c r="D67" s="10"/>
      <x:c r="E67" s="12"/>
      <x:c r="F67" s="12"/>
      <x:c r="G67" s="10"/>
      <x:c r="H67" s="13"/>
      <x:c r="I67" s="12"/>
      <x:c r="J67" s="12"/>
      <x:c r="K67" s="10"/>
      <x:c r="L67" s="12"/>
    </x:row>
    <x:row r="68" spans="1:12" x14ac:dyDescent="0.25">
      <x:c r="A68" s="11"/>
      <x:c r="B68" s="12"/>
      <x:c r="C68" s="12"/>
      <x:c r="D68" s="10"/>
      <x:c r="E68" s="12"/>
      <x:c r="F68" s="12"/>
      <x:c r="G68" s="10"/>
      <x:c r="H68" s="13"/>
      <x:c r="I68" s="12"/>
      <x:c r="J68" s="12"/>
      <x:c r="K68" s="10"/>
      <x:c r="L68" s="12"/>
    </x:row>
    <x:row r="69" spans="1:12" x14ac:dyDescent="0.25">
      <x:c r="A69" s="11"/>
      <x:c r="B69" s="12"/>
      <x:c r="C69" s="12"/>
      <x:c r="D69" s="10"/>
      <x:c r="E69" s="12"/>
      <x:c r="F69" s="12"/>
      <x:c r="G69" s="10"/>
      <x:c r="H69" s="13"/>
      <x:c r="I69" s="12"/>
      <x:c r="J69" s="12"/>
      <x:c r="K69" s="10"/>
      <x:c r="L69" s="12"/>
    </x:row>
    <x:row r="70" spans="1:12" x14ac:dyDescent="0.25">
      <x:c r="A70" s="11"/>
      <x:c r="B70" s="12"/>
      <x:c r="C70" s="12"/>
      <x:c r="D70" s="10"/>
      <x:c r="E70" s="12"/>
      <x:c r="F70" s="12"/>
      <x:c r="G70" s="10"/>
      <x:c r="H70" s="13"/>
      <x:c r="I70" s="12"/>
      <x:c r="J70" s="12"/>
      <x:c r="K70" s="10"/>
      <x:c r="L70" s="12"/>
    </x:row>
    <x:row r="71" spans="1:12" x14ac:dyDescent="0.25">
      <x:c r="A71" s="11"/>
      <x:c r="B71" s="12"/>
      <x:c r="C71" s="12"/>
      <x:c r="D71" s="10"/>
      <x:c r="E71" s="12"/>
      <x:c r="F71" s="12"/>
      <x:c r="G71" s="10"/>
      <x:c r="H71" s="13"/>
      <x:c r="I71" s="12"/>
      <x:c r="J71" s="12"/>
      <x:c r="K71" s="10"/>
      <x:c r="L71" s="12"/>
    </x:row>
    <x:row r="72" spans="1:12" x14ac:dyDescent="0.25">
      <x:c r="A72" s="11"/>
      <x:c r="B72" s="12"/>
      <x:c r="C72" s="12"/>
      <x:c r="D72" s="10"/>
      <x:c r="E72" s="12"/>
      <x:c r="F72" s="12"/>
      <x:c r="G72" s="10"/>
      <x:c r="H72" s="13"/>
      <x:c r="I72" s="12"/>
      <x:c r="J72" s="12"/>
      <x:c r="K72" s="10"/>
      <x:c r="L72" s="12"/>
    </x:row>
    <x:row r="73" spans="1:12" x14ac:dyDescent="0.25">
      <x:c r="A73" s="11"/>
      <x:c r="B73" s="12"/>
      <x:c r="C73" s="12"/>
      <x:c r="D73" s="10"/>
      <x:c r="E73" s="12"/>
      <x:c r="F73" s="12"/>
      <x:c r="G73" s="10"/>
      <x:c r="H73" s="13"/>
      <x:c r="I73" s="12"/>
      <x:c r="J73" s="12"/>
      <x:c r="K73" s="10"/>
      <x:c r="L73" s="12"/>
    </x:row>
    <x:row r="74" spans="1:12" x14ac:dyDescent="0.25">
      <x:c r="A74" s="11"/>
      <x:c r="B74" s="12"/>
      <x:c r="C74" s="12"/>
      <x:c r="D74" s="10"/>
      <x:c r="E74" s="12"/>
      <x:c r="F74" s="12"/>
      <x:c r="G74" s="10"/>
      <x:c r="H74" s="13"/>
      <x:c r="I74" s="12"/>
      <x:c r="J74" s="12"/>
      <x:c r="K74" s="10"/>
      <x:c r="L74" s="12"/>
    </x:row>
    <x:row r="75" spans="1:12" x14ac:dyDescent="0.25">
      <x:c r="A75" s="11"/>
      <x:c r="B75" s="12"/>
      <x:c r="C75" s="12"/>
      <x:c r="D75" s="10"/>
      <x:c r="E75" s="12"/>
      <x:c r="F75" s="12"/>
      <x:c r="G75" s="10"/>
      <x:c r="H75" s="13"/>
      <x:c r="I75" s="12"/>
      <x:c r="J75" s="12"/>
      <x:c r="K75" s="10"/>
      <x:c r="L75" s="12"/>
    </x:row>
    <x:row r="76" spans="1:12" x14ac:dyDescent="0.25">
      <x:c r="A76" s="11"/>
      <x:c r="B76" s="12"/>
      <x:c r="C76" s="12"/>
      <x:c r="D76" s="10"/>
      <x:c r="E76" s="12"/>
      <x:c r="F76" s="12"/>
      <x:c r="G76" s="10"/>
      <x:c r="H76" s="13"/>
      <x:c r="I76" s="12"/>
      <x:c r="J76" s="12"/>
      <x:c r="K76" s="10"/>
      <x:c r="L76" s="12"/>
    </x:row>
    <x:row r="77" spans="1:12" x14ac:dyDescent="0.25">
      <x:c r="A77" s="11"/>
      <x:c r="B77" s="12"/>
      <x:c r="C77" s="12"/>
      <x:c r="D77" s="10"/>
      <x:c r="E77" s="12"/>
      <x:c r="F77" s="12"/>
      <x:c r="G77" s="10"/>
      <x:c r="H77" s="13"/>
      <x:c r="I77" s="12"/>
      <x:c r="J77" s="12"/>
      <x:c r="K77" s="10"/>
      <x:c r="L77" s="12"/>
    </x:row>
    <x:row r="78" spans="1:12" x14ac:dyDescent="0.25">
      <x:c r="A78" s="11"/>
      <x:c r="B78" s="12"/>
      <x:c r="C78" s="12"/>
      <x:c r="D78" s="10"/>
      <x:c r="E78" s="12"/>
      <x:c r="F78" s="12"/>
      <x:c r="G78" s="10"/>
      <x:c r="H78" s="13"/>
      <x:c r="I78" s="12"/>
      <x:c r="J78" s="12"/>
      <x:c r="K78" s="10"/>
      <x:c r="L78" s="12"/>
    </x:row>
    <x:row r="79" spans="1:12" x14ac:dyDescent="0.25">
      <x:c r="A79" s="11"/>
      <x:c r="B79" s="12"/>
      <x:c r="C79" s="12"/>
      <x:c r="D79" s="10"/>
      <x:c r="E79" s="12"/>
      <x:c r="F79" s="12"/>
      <x:c r="G79" s="10"/>
      <x:c r="H79" s="13"/>
      <x:c r="I79" s="12"/>
      <x:c r="J79" s="12"/>
      <x:c r="K79" s="10"/>
      <x:c r="L79" s="12"/>
    </x:row>
    <x:row r="80" spans="1:12" x14ac:dyDescent="0.25">
      <x:c r="A80" s="11"/>
      <x:c r="B80" s="12"/>
      <x:c r="C80" s="12"/>
      <x:c r="D80" s="10"/>
      <x:c r="E80" s="12"/>
      <x:c r="F80" s="12"/>
      <x:c r="G80" s="10"/>
      <x:c r="H80" s="13"/>
      <x:c r="I80" s="12"/>
      <x:c r="J80" s="12"/>
      <x:c r="K80" s="10"/>
      <x:c r="L80" s="12"/>
    </x:row>
    <x:row r="81" spans="1:12" x14ac:dyDescent="0.25">
      <x:c r="A81" s="11"/>
      <x:c r="B81" s="12"/>
      <x:c r="C81" s="12"/>
      <x:c r="D81" s="10"/>
      <x:c r="E81" s="12"/>
      <x:c r="F81" s="12"/>
      <x:c r="G81" s="10"/>
      <x:c r="H81" s="13"/>
      <x:c r="I81" s="12"/>
      <x:c r="J81" s="12"/>
      <x:c r="K81" s="10"/>
      <x:c r="L81" s="12"/>
    </x:row>
    <x:row r="82" spans="1:12" x14ac:dyDescent="0.25">
      <x:c r="A82" s="11"/>
      <x:c r="B82" s="12"/>
      <x:c r="C82" s="12"/>
      <x:c r="D82" s="10"/>
      <x:c r="E82" s="12"/>
      <x:c r="F82" s="12"/>
      <x:c r="G82" s="10"/>
      <x:c r="H82" s="13"/>
      <x:c r="I82" s="12"/>
      <x:c r="J82" s="12"/>
      <x:c r="K82" s="10"/>
      <x:c r="L82" s="12"/>
    </x:row>
    <x:row r="83" spans="1:12" x14ac:dyDescent="0.25">
      <x:c r="A83" s="11"/>
      <x:c r="B83" s="12"/>
      <x:c r="C83" s="12"/>
      <x:c r="D83" s="10"/>
      <x:c r="E83" s="12"/>
      <x:c r="F83" s="12"/>
      <x:c r="G83" s="10"/>
      <x:c r="H83" s="13"/>
      <x:c r="I83" s="12"/>
      <x:c r="J83" s="12"/>
      <x:c r="K83" s="10"/>
      <x:c r="L83" s="12"/>
    </x:row>
    <x:row r="84" spans="1:12" x14ac:dyDescent="0.25">
      <x:c r="A84" s="11"/>
      <x:c r="B84" s="12"/>
      <x:c r="C84" s="12"/>
      <x:c r="D84" s="10"/>
      <x:c r="E84" s="12"/>
      <x:c r="F84" s="12"/>
      <x:c r="G84" s="10"/>
      <x:c r="H84" s="13"/>
      <x:c r="I84" s="12"/>
      <x:c r="J84" s="12"/>
      <x:c r="K84" s="10"/>
      <x:c r="L84" s="12"/>
    </x:row>
  </x:sheetData>
  <x:sortState xmlns:xlrd2="http://schemas.microsoft.com/office/spreadsheetml/2017/richdata2" ref="A6:H44">
    <x:sortCondition descending="1" ref="C6:C44"/>
  </x:sortState>
  <x:mergeCells count="2">
    <x:mergeCell ref="C4:E4"/>
    <x:mergeCell ref="F4:H4"/>
  </x:mergeCells>
  <x:pageMargins left="0.7" right="0.7" top="0.75" bottom="0.75" header="0.3" footer="0.3"/>
  <x:pageSetup orientation="portrait" r:id="rId1"/>
  <x:headerFooter>
    <x:oddFooter>&amp;C_x000D_&amp;1#&amp;"Calibri"&amp;10&amp;K0000FF Restricted Use - À usage restreint</x:oddFooter>
  </x:headerFooter>
  <x:customProperties>
    <x:customPr name="CycleColor" r:id="rId2"/>
    <x:customPr name="DashStyle" r:id="rId3"/>
    <x:customPr name="GraphSizeIndex" r:id="rId4"/>
    <x:customPr name="GraphSizeName" r:id="rId5"/>
    <x:customPr name="PageSizeIndex" r:id="rId6"/>
    <x:customPr name="PageSizeName" r:id="rId7"/>
    <x:customPr name="PaletteIndex" r:id="rId8"/>
    <x:customPr name="PaletteName" r:id="rId9"/>
    <x:customPr name="SinglePanel" r:id="rId10"/>
    <x:customPr name="StartColorIndex" r:id="rId11"/>
    <x:customPr name="StartColorName" r:id="rId12"/>
    <x:customPr name="StyleTemplateIndex" r:id="rId13"/>
    <x:customPr name="StyleTemplateName" r:id="rId14"/>
  </x:customProperties>
</x:worksheet>
</file>

<file path=xl/worksheets/sheet3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58" t="str">
        <x:v>This Excel file contains the data for the following figure or table:</x:v>
      </x:c>
    </x:row>
    <x:row r="4">
      <x:c/>
      <x:c r="B4" s="58" t="str">
        <x:v/>
      </x:c>
    </x:row>
    <x:row r="5">
      <x:c/>
      <x:c r="B5" s="57" t="str">
        <x:v>Pensions at a Glance 2025 - © OECD 2025</x:v>
      </x:c>
    </x:row>
    <x:row r="6">
      <x:c/>
      <x:c r="B6" s="58" t="str">
        <x:v>Demographic and economic context - Figure 6.13. Average effective age of labour market exit and normal retirement age in 2024</x:v>
      </x:c>
    </x:row>
    <x:row r="7">
      <x:c/>
      <x:c r="B7" s="58" t="str">
        <x:v>Version 1 - Last updated: 27-Nov-2025</x:v>
      </x:c>
    </x:row>
    <x:row r="8">
      <x:c/>
      <x:c r="B8" s="59" t="str">
        <x:v>Disclaimer: http://oe.cd/disclaimer</x:v>
      </x:c>
    </x:row>
    <x:row r="9">
      <x:c/>
      <x:c r="B9" s="58" t="str">
        <x:v/>
      </x:c>
    </x:row>
    <x:row r="10">
      <x:c/>
      <x:c r="B10" s="59" t="str">
        <x:v>Permanent location of this file: https://stat.link/yj83ds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2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3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4" ma:contentTypeDescription="" ma:contentTypeScope="" ma:versionID="de157740fd862b6abd820d5c04ea5649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edf1dd90dc3ba4bb77a5714cf99b2f30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REILLY Andrew, ELS/SPD</DisplayName>
        <AccountId>111</AccountId>
        <AccountType/>
      </UserInfo>
      <UserInfo>
        <DisplayName>QUEISSER Monika, ELS</DisplayName>
        <AccountId>90</AccountId>
        <AccountType/>
      </UserInfo>
      <UserInfo>
        <DisplayName>LIS Maciej, ELS/SPD</DisplayName>
        <AccountId>825</AccountId>
        <AccountType/>
      </UserInfo>
      <UserInfo>
        <DisplayName>DE TAVERNIER Wouter, ELS/SPD</DisplayName>
        <AccountId>3908</AccountId>
        <AccountType/>
      </UserInfo>
      <UserInfo>
        <DisplayName>DANE Cemre, ELS/SPD</DisplayName>
        <AccountId>6418</AccountId>
        <AccountType/>
      </UserInfo>
    </OECDProjectMembers>
    <OECDProjectManager xmlns="22a5b7d0-1699-458f-b8e2-4d8247229549">
      <UserInfo>
        <DisplayName/>
        <AccountId>133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401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 Welfare and Social Inclusion</TermName>
          <TermId xmlns="http://schemas.microsoft.com/office/infopath/2007/PartnerControls">d9ab338a-806a-46f3-b6ed-10946f525914</TermId>
        </TermInfo>
      </Terms>
    </eSharePWBTaxHTField0>
    <TaxCatchAll xmlns="ca82dde9-3436-4d3d-bddd-d31447390034">
      <Value>269</Value>
      <Value>488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Party on Social Policy</TermName>
          <TermId xmlns="http://schemas.microsoft.com/office/infopath/2007/PartnerControls">20f17ba2-08e0-4879-939f-a8e21553ddd8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613484E1-C4F9-475D-9B02-272F7F20FE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0B9C8-12F6-4DE1-BEB4-2F80A350FD7E}">
  <ds:schemaRefs>
    <ds:schemaRef ds:uri="http://www.oecd.org/eshare/projectsentre/CtFieldPriority/"/>
    <ds:schemaRef ds:uri="http://schemas.microsoft.com/2003/10/Serialization/Arrays"/>
  </ds:schemaRefs>
</ds:datastoreItem>
</file>

<file path=customXml/itemProps3.xml><?xml version="1.0" encoding="utf-8"?>
<ds:datastoreItem xmlns:ds="http://schemas.openxmlformats.org/officeDocument/2006/customXml" ds:itemID="{C651EF5F-2F92-40C3-838C-EECBAB86BD5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9A5382D2-18E4-4320-A0CC-B35CE6F0F1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C27C8CE-29A0-4CCE-9AC4-A92EE872826D}">
  <ds:schemaRefs>
    <ds:schemaRef ds:uri="http://purl.org/dc/terms/"/>
    <ds:schemaRef ds:uri="54c4cd27-f286-408f-9ce0-33c1e0f3ab39"/>
    <ds:schemaRef ds:uri="http://schemas.microsoft.com/sharepoint/v4"/>
    <ds:schemaRef ds:uri="http://www.w3.org/XML/1998/namespace"/>
    <ds:schemaRef ds:uri="c9f238dd-bb73-4aef-a7a5-d644ad823e52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ca82dde9-3436-4d3d-bddd-d31447390034"/>
    <ds:schemaRef ds:uri="http://schemas.microsoft.com/office/2006/documentManagement/types"/>
    <ds:schemaRef ds:uri="http://purl.org/dc/dcmitype/"/>
    <ds:schemaRef ds:uri="22a5b7d0-1699-458f-b8e2-4d8247229549"/>
    <ds:schemaRef ds:uri="c5805097-db0a-42f9-a837-be9035f1f57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g6-13</vt:lpstr>
      <vt:lpstr>Data</vt:lpstr>
      <vt:lpstr>'g6-13'!Print_Area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REILLY Andrew</dc:creator>
  <cp:lastModifiedBy>VARKKI Hanna, ELS/COM</cp:lastModifiedBy>
  <cp:lastPrinted>2025-09-03T06:11:41Z</cp:lastPrinted>
  <dcterms:created xsi:type="dcterms:W3CDTF">2017-12-06T09:05:11Z</dcterms:created>
  <dcterms:modified xsi:type="dcterms:W3CDTF">2025-11-19T16:52:30Z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/>
  </property>
  <property fmtid="{D5CDD505-2E9C-101B-9397-08002B2CF9AE}" pid="4" name="OECDCommittee">
    <vt:lpwstr>269;#Working Party on Social Policy|20f17ba2-08e0-4879-939f-a8e21553ddd8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488;#2.2.3 Welfare and Social Inclusion|d9ab338a-806a-46f3-b6ed-10946f525914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  <property fmtid="{D5CDD505-2E9C-101B-9397-08002B2CF9AE}" pid="13" name="MSIP_Label_0e5510b0-e729-4ef0-a3dd-4ba0dfe56c99_Enabled">
    <vt:lpwstr>true</vt:lpwstr>
  </property>
  <property fmtid="{D5CDD505-2E9C-101B-9397-08002B2CF9AE}" pid="14" name="MSIP_Label_0e5510b0-e729-4ef0-a3dd-4ba0dfe56c99_SetDate">
    <vt:lpwstr>2025-03-19T14:41:33Z</vt:lpwstr>
  </property>
  <property fmtid="{D5CDD505-2E9C-101B-9397-08002B2CF9AE}" pid="15" name="MSIP_Label_0e5510b0-e729-4ef0-a3dd-4ba0dfe56c99_Method">
    <vt:lpwstr>Standard</vt:lpwstr>
  </property>
  <property fmtid="{D5CDD505-2E9C-101B-9397-08002B2CF9AE}" pid="16" name="MSIP_Label_0e5510b0-e729-4ef0-a3dd-4ba0dfe56c99_Name">
    <vt:lpwstr>Restricted Use</vt:lpwstr>
  </property>
  <property fmtid="{D5CDD505-2E9C-101B-9397-08002B2CF9AE}" pid="17" name="MSIP_Label_0e5510b0-e729-4ef0-a3dd-4ba0dfe56c99_SiteId">
    <vt:lpwstr>ac41c7d4-1f61-460d-b0f4-fc925a2b471c</vt:lpwstr>
  </property>
  <property fmtid="{D5CDD505-2E9C-101B-9397-08002B2CF9AE}" pid="18" name="MSIP_Label_0e5510b0-e729-4ef0-a3dd-4ba0dfe56c99_ActionId">
    <vt:lpwstr>ee17c961-0e87-4a4c-8780-2216005d2f1a</vt:lpwstr>
  </property>
  <property fmtid="{D5CDD505-2E9C-101B-9397-08002B2CF9AE}" pid="19" name="MSIP_Label_0e5510b0-e729-4ef0-a3dd-4ba0dfe56c99_ContentBits">
    <vt:lpwstr>2</vt:lpwstr>
  </property>
</Properties>
</file>